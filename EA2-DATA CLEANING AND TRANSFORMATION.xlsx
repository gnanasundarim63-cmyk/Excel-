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4" windowHeight="8520" firstSheet="2" activeTab="7"/>
  </bookViews>
  <sheets>
    <sheet name="Raw Data" sheetId="1" r:id="rId1"/>
    <sheet name="Handling missing values" sheetId="5" r:id="rId2"/>
    <sheet name="Remove duplicate rows" sheetId="4" r:id="rId3"/>
    <sheet name="Sheet11" sheetId="11" r:id="rId4"/>
    <sheet name="CLEANED DATASET" sheetId="14" r:id="rId5"/>
    <sheet name="Corrected Text Formats" sheetId="6" r:id="rId6"/>
    <sheet name="Sheet2" sheetId="13" r:id="rId7"/>
    <sheet name="Split &amp; Merge data" sheetId="7" r:id="rId8"/>
    <sheet name="CONDITIONAL FORMATTING" sheetId="9" r:id="rId9"/>
    <sheet name="Find mising value" sheetId="3" r:id="rId10"/>
    <sheet name="Sheet1" sheetId="12" r:id="rId11"/>
  </sheets>
  <definedNames>
    <definedName name="_xlnm._FilterDatabase" localSheetId="3" hidden="1">Sheet11!$A$1:$A$35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<sst xmlns="http://schemas.openxmlformats.org/spreadsheetml/2006/main" count="1021" uniqueCount="109">
  <si>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</si>
  <si>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</si>
  <si>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</si>
  <si>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</si>
  <si>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</si>
  <si>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</si>
  <si>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</si>
  <si>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</si>
  <si>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</si>
  <si>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</si>
  <si>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</si>
  <si>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</si>
  <si>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</si>
  <si>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</si>
  <si>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</si>
  <si>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</si>
  <si>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</si>
  <si>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</si>
  <si>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</si>
  <si>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</si>
  <si>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</si>
  <si>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</si>
  <si>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</si>
  <si>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</si>
  <si>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</si>
  <si>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</si>
  <si>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</si>
  <si>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</si>
  <si>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</si>
  <si>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</si>
  <si>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</si>
  <si>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</si>
  <si>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</si>
  <si>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</si>
  <si>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</si>
  <si>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</si>
  <si>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</si>
  <si>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</si>
  <si>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</si>
  <si>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</si>
  <si>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</si>
  <si>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</si>
  <si>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</si>
  <si>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</si>
  <si>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</si>
  <si>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</si>
  <si>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</si>
  <si>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</si>
  <si>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</si>
  <si>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</si>
  <si>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</si>
  <si>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</si>
  <si>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</si>
  <si>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</si>
  <si>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</si>
  <si>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</si>
  <si>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</si>
  <si>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</si>
  <si>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</si>
  <si>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</si>
  <si>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</si>
  <si>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</si>
  <si>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</si>
  <si>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</si>
  <si>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</si>
  <si>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</si>
  <si>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</si>
  <si>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</si>
  <si>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</si>
  <si>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</si>
  <si>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</si>
  <si>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</si>
  <si>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</si>
  <si>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</si>
  <si>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</si>
  <si>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</si>
  <si>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</si>
  <si>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</si>
  <si>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</si>
  <si>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</si>
  <si>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</si>
  <si>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</si>
  <si>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</si>
  <si>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</si>
  <si>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</si>
  <si>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</si>
  <si>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</si>
  <si>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</si>
  <si>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</si>
  <si>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</si>
  <si>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</si>
  <si>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</si>
  <si>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</si>
  <si>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</si>
  <si>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</si>
  <si>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</si>
  <si>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</si>
  <si>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</t>
  </si>
  <si>
    <t>Product Name2</t>
  </si>
  <si>
    <t>Brand Name3</t>
  </si>
  <si>
    <t>Category2</t>
  </si>
  <si>
    <t>Brand Name2</t>
  </si>
  <si>
    <t>Product Name3</t>
  </si>
  <si>
    <t>SPLIT DATA</t>
  </si>
  <si>
    <t>MERGE DATA</t>
  </si>
  <si>
    <t>Manufacturing Date</t>
  </si>
  <si>
    <t>Country Code</t>
  </si>
  <si>
    <t>Product Brand</t>
  </si>
  <si>
    <t>Electronica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</si>
</sst>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  <numFmt numFmtId="177" formatCode="dd\-mm\-yyyy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"/>
        <bgColor rgb="FF4DD0E1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16" applyNumberFormat="0" applyAlignment="0" applyProtection="0">
      <alignment vertical="center"/>
    </xf>
    <xf numFmtId="0" fontId="13" fillId="14" borderId="17" applyNumberFormat="0" applyAlignment="0" applyProtection="0">
      <alignment vertical="center"/>
    </xf>
    <xf numFmtId="0" fontId="14" fillId="14" borderId="16" applyNumberFormat="0" applyAlignment="0" applyProtection="0">
      <alignment vertical="center"/>
    </xf>
    <xf numFmtId="0" fontId="15" fillId="1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3" fillId="0" borderId="0"/>
    <xf numFmtId="0" fontId="24" fillId="0" borderId="0"/>
  </cellStyleXfs>
  <cellXfs count="44">
    <xf numFmtId="0" fontId="0" fillId="0" borderId="0" xfId="0"/>
    <xf numFmtId="0" fontId="1" fillId="2" borderId="1" xfId="49" applyFont="1" applyFill="1" applyBorder="1" applyAlignment="1">
      <alignment horizontal="center"/>
    </xf>
    <xf numFmtId="0" fontId="1" fillId="2" borderId="2" xfId="49" applyFont="1" applyFill="1" applyBorder="1" applyAlignment="1">
      <alignment horizontal="center"/>
    </xf>
    <xf numFmtId="0" fontId="1" fillId="2" borderId="3" xfId="49" applyFont="1" applyFill="1" applyBorder="1" applyAlignment="1">
      <alignment horizontal="center"/>
    </xf>
    <xf numFmtId="0" fontId="2" fillId="0" borderId="4" xfId="49" applyFont="1" applyBorder="1" applyAlignment="1">
      <alignment horizontal="center"/>
    </xf>
    <xf numFmtId="0" fontId="2" fillId="0" borderId="5" xfId="49" applyFont="1" applyBorder="1" applyAlignment="1">
      <alignment horizontal="center"/>
    </xf>
    <xf numFmtId="0" fontId="2" fillId="0" borderId="6" xfId="49" applyFont="1" applyBorder="1" applyAlignment="1">
      <alignment horizontal="center"/>
    </xf>
    <xf numFmtId="0" fontId="2" fillId="3" borderId="4" xfId="49" applyFont="1" applyFill="1" applyBorder="1" applyAlignment="1">
      <alignment horizontal="center"/>
    </xf>
    <xf numFmtId="0" fontId="2" fillId="3" borderId="5" xfId="49" applyFont="1" applyFill="1" applyBorder="1" applyAlignment="1">
      <alignment horizontal="center"/>
    </xf>
    <xf numFmtId="0" fontId="2" fillId="3" borderId="6" xfId="49" applyFont="1" applyFill="1" applyBorder="1" applyAlignment="1">
      <alignment horizontal="center"/>
    </xf>
    <xf numFmtId="0" fontId="2" fillId="4" borderId="6" xfId="49" applyFont="1" applyFill="1" applyBorder="1" applyAlignment="1">
      <alignment horizontal="center"/>
    </xf>
    <xf numFmtId="0" fontId="2" fillId="5" borderId="5" xfId="49" applyFont="1" applyFill="1" applyBorder="1" applyAlignment="1">
      <alignment horizontal="center"/>
    </xf>
    <xf numFmtId="0" fontId="2" fillId="5" borderId="6" xfId="49" applyFont="1" applyFill="1" applyBorder="1" applyAlignment="1">
      <alignment horizontal="center"/>
    </xf>
    <xf numFmtId="0" fontId="2" fillId="3" borderId="7" xfId="49" applyFont="1" applyFill="1" applyBorder="1" applyAlignment="1">
      <alignment horizontal="center"/>
    </xf>
    <xf numFmtId="0" fontId="2" fillId="3" borderId="8" xfId="49" applyFont="1" applyFill="1" applyBorder="1" applyAlignment="1">
      <alignment horizontal="center"/>
    </xf>
    <xf numFmtId="0" fontId="2" fillId="3" borderId="9" xfId="49" applyFont="1" applyFill="1" applyBorder="1" applyAlignment="1">
      <alignment horizontal="center"/>
    </xf>
    <xf numFmtId="0" fontId="2" fillId="6" borderId="6" xfId="49" applyFont="1" applyFill="1" applyBorder="1" applyAlignment="1">
      <alignment horizontal="center"/>
    </xf>
    <xf numFmtId="0" fontId="2" fillId="7" borderId="6" xfId="49" applyFont="1" applyFill="1" applyBorder="1" applyAlignment="1">
      <alignment horizontal="center"/>
    </xf>
    <xf numFmtId="0" fontId="2" fillId="8" borderId="6" xfId="49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10" xfId="0" applyFill="1" applyBorder="1" applyAlignment="1">
      <alignment horizontal="center"/>
    </xf>
    <xf numFmtId="0" fontId="1" fillId="10" borderId="1" xfId="49" applyFont="1" applyFill="1" applyBorder="1" applyAlignment="1">
      <alignment horizontal="center"/>
    </xf>
    <xf numFmtId="0" fontId="1" fillId="10" borderId="2" xfId="49" applyFont="1" applyFill="1" applyBorder="1" applyAlignment="1">
      <alignment horizontal="center"/>
    </xf>
    <xf numFmtId="0" fontId="1" fillId="10" borderId="3" xfId="49" applyFont="1" applyFill="1" applyBorder="1" applyAlignment="1">
      <alignment horizontal="center"/>
    </xf>
    <xf numFmtId="0" fontId="1" fillId="11" borderId="1" xfId="49" applyFont="1" applyFill="1" applyBorder="1" applyAlignment="1">
      <alignment horizontal="center"/>
    </xf>
    <xf numFmtId="0" fontId="1" fillId="11" borderId="2" xfId="49" applyFont="1" applyFill="1" applyBorder="1" applyAlignment="1">
      <alignment horizontal="center"/>
    </xf>
    <xf numFmtId="0" fontId="1" fillId="11" borderId="3" xfId="49" applyFont="1" applyFill="1" applyBorder="1" applyAlignment="1">
      <alignment horizontal="center"/>
    </xf>
    <xf numFmtId="0" fontId="2" fillId="0" borderId="7" xfId="49" applyFont="1" applyBorder="1" applyAlignment="1">
      <alignment horizontal="center"/>
    </xf>
    <xf numFmtId="0" fontId="2" fillId="0" borderId="8" xfId="49" applyFont="1" applyBorder="1" applyAlignment="1">
      <alignment horizontal="center"/>
    </xf>
    <xf numFmtId="0" fontId="2" fillId="0" borderId="9" xfId="49" applyFont="1" applyBorder="1" applyAlignment="1">
      <alignment horizontal="center"/>
    </xf>
    <xf numFmtId="0" fontId="1" fillId="2" borderId="10" xfId="49" applyFont="1" applyFill="1" applyBorder="1" applyAlignment="1">
      <alignment horizontal="center"/>
    </xf>
    <xf numFmtId="0" fontId="1" fillId="2" borderId="11" xfId="49" applyFont="1" applyFill="1" applyBorder="1" applyAlignment="1">
      <alignment horizontal="center"/>
    </xf>
    <xf numFmtId="0" fontId="1" fillId="2" borderId="12" xfId="49" applyFont="1" applyFill="1" applyBorder="1" applyAlignment="1">
      <alignment horizontal="center"/>
    </xf>
    <xf numFmtId="0" fontId="1" fillId="2" borderId="0" xfId="49" applyFont="1" applyFill="1" applyAlignment="1">
      <alignment horizontal="center"/>
    </xf>
    <xf numFmtId="176" fontId="2" fillId="0" borderId="5" xfId="49" applyNumberFormat="1" applyFont="1" applyBorder="1" applyAlignment="1">
      <alignment horizontal="center"/>
    </xf>
    <xf numFmtId="0" fontId="1" fillId="0" borderId="1" xfId="49" applyFont="1" applyBorder="1" applyAlignment="1">
      <alignment horizontal="center"/>
    </xf>
    <xf numFmtId="0" fontId="1" fillId="0" borderId="2" xfId="49" applyFont="1" applyBorder="1" applyAlignment="1">
      <alignment horizontal="center"/>
    </xf>
    <xf numFmtId="0" fontId="1" fillId="0" borderId="3" xfId="49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49" applyFont="1"/>
    <xf numFmtId="58" fontId="0" fillId="0" borderId="0" xfId="0" applyNumberFormat="1"/>
    <xf numFmtId="0" fontId="2" fillId="3" borderId="0" xfId="49" applyFont="1" applyFill="1"/>
    <xf numFmtId="177" fontId="0" fillId="0" borderId="0" xfId="0" applyNumberForma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54"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0" xr9:uid="{3C15BCA5-5E7E-4B32-81CA-844EEDEA0A19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Table26" displayName="Table26" ref="A1:F32" totalsRowShown="0">
  <tableColumns count="6">
    <tableColumn id="1" name="Product ID" dataDxfId="0"/>
    <tableColumn id="2" name="Product Name" dataDxfId="1"/>
    <tableColumn id="3" name="Brand Name" dataDxfId="2"/>
    <tableColumn id="4" name="Price ($)" dataDxfId="3"/>
    <tableColumn id="5" name="Quantity" dataDxfId="4"/>
    <tableColumn id="6" name="Category" dataDxfId="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6" name="Table267" displayName="Table267" ref="A1:F32" totalsRowShown="0">
  <tableColumns count="6">
    <tableColumn id="1" name="Product ID" dataDxfId="6"/>
    <tableColumn id="2" name="Product Name" dataDxfId="7"/>
    <tableColumn id="3" name="Brand Name" dataDxfId="8"/>
    <tableColumn id="4" name="Price ($)" dataDxfId="9"/>
    <tableColumn id="5" name="Quantity" dataDxfId="10"/>
    <tableColumn id="6" name="Category" dataDxfId="1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I35" totalsRowShown="0">
  <sortState ref="A1:I35">
    <sortCondition ref="B2:B35"/>
  </sortState>
  <tableColumns count="9">
    <tableColumn id="1" name="Product ID" dataDxfId="12"/>
    <tableColumn id="2" name="Product Name" dataDxfId="13">
      <calculatedColumnFormula>UPPER(C2)</calculatedColumnFormula>
    </tableColumn>
    <tableColumn id="3" name="Product Name2" dataDxfId="14"/>
    <tableColumn id="4" name="Brand Name" dataDxfId="15">
      <calculatedColumnFormula>UPPER(E2)</calculatedColumnFormula>
    </tableColumn>
    <tableColumn id="5" name="Brand Name3" dataDxfId="16"/>
    <tableColumn id="6" name="Price ($)" dataDxfId="17"/>
    <tableColumn id="7" name="Quantity" dataDxfId="18"/>
    <tableColumn id="9" name="Category" dataDxfId="19">
      <calculatedColumnFormula>UPPER(Table1[[#This Row],[Category2]])</calculatedColumnFormula>
    </tableColumn>
    <tableColumn id="8" name="Category2" dataDxfId="2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7" name="Table2678" displayName="Table2678" ref="A1:K32" totalsRowShown="0">
  <tableColumns count="11">
    <tableColumn id="1" name="Product ID" dataDxfId="21"/>
    <tableColumn id="2" name="Product Name" dataDxfId="22"/>
    <tableColumn id="7" name="Product Name2" dataDxfId="23">
      <calculatedColumnFormula>PROPER(Table2678[[#This Row],[Product Name]])</calculatedColumnFormula>
    </tableColumn>
    <tableColumn id="3" name="Brand Name" dataDxfId="24"/>
    <tableColumn id="8" name="Brand Name2" dataDxfId="25">
      <calculatedColumnFormula>PROPER(D2)</calculatedColumnFormula>
    </tableColumn>
    <tableColumn id="4" name="Price ($)" dataDxfId="26"/>
    <tableColumn id="5" name="Quantity" dataDxfId="27"/>
    <tableColumn id="9" name="Category" dataDxfId="28">
      <calculatedColumnFormula>PROPER(I2)</calculatedColumnFormula>
    </tableColumn>
    <tableColumn id="6" name="Category2" dataDxfId="29"/>
    <tableColumn id="10" name="Product Name3" dataDxfId="30">
      <calculatedColumnFormula>TRIM(Table2678[[#This Row],[Product Name2]])</calculatedColumnFormula>
    </tableColumn>
    <tableColumn id="11" name="Brand Name3" dataDxfId="31">
      <calculatedColumnFormula>TRIM(Table2678[[#This Row],[Brand Name2]])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L1:N32" totalsRowShown="0">
  <tableColumns count="3">
    <tableColumn id="1" name="Price ($)" dataDxfId="32"/>
    <tableColumn id="2" name="Quantity" dataDxfId="33"/>
    <tableColumn id="3" name="Category" dataDxfId="34">
      <calculatedColumnFormula>TRIM(Table2678[[#This Row],[Category]])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A2:C33" totalsRowShown="0">
  <tableColumns count="3">
    <tableColumn id="1" name="Product ID" dataDxfId="35"/>
    <tableColumn id="2" name="Manufacturing Date" dataDxfId="36">
      <calculatedColumnFormula>LEFT(A3,2)</calculatedColumnFormula>
    </tableColumn>
    <tableColumn id="3" name="Country Code" dataDxfId="37">
      <calculatedColumnFormula>RIGHT(A3,2)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E2:G33" totalsRowShown="0">
  <tableColumns count="3">
    <tableColumn id="1" name="Brand Name" dataDxfId="38">
      <calculatedColumnFormula>TRIM(Table2678[[#This Row],[Brand Name2]])</calculatedColumnFormula>
    </tableColumn>
    <tableColumn id="2" name="Product Name" dataDxfId="39">
      <calculatedColumnFormula>TRIM(Table2678[[#This Row],[Product Name2]])</calculatedColumnFormula>
    </tableColumn>
    <tableColumn id="3" name="Product Brand" dataDxfId="40">
      <calculatedColumnFormula>CONCATENATE(E3," ",F3)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13" name="Table2614" displayName="Table2614" ref="A1:F32" totalsRowShown="0">
  <autoFilter xmlns:etc="http://www.wps.cn/officeDocument/2017/etCustomData" ref="A1:F32" etc:filterBottomFollowUsedRange="0">
    <filterColumn colId="5">
      <customFilters>
        <customFilter operator="equal" val="Electronics"/>
      </customFilters>
    </filterColumn>
  </autoFilter>
  <tableColumns count="6">
    <tableColumn id="1" name="Product ID" dataDxfId="41"/>
    <tableColumn id="2" name="Product Name" dataDxfId="42"/>
    <tableColumn id="3" name="Brand Name" dataDxfId="43"/>
    <tableColumn id="4" name="Price ($)" dataDxfId="44"/>
    <tableColumn id="5" name="Quantity" dataDxfId="45"/>
    <tableColumn id="6" name="Category" dataDxfId="46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3" name="Table24" displayName="Table24" ref="A1:F35" totalsRowShown="0">
  <tableColumns count="6">
    <tableColumn id="1" name="Product ID" dataDxfId="48"/>
    <tableColumn id="2" name="Product Name" dataDxfId="49"/>
    <tableColumn id="3" name="Brand Name" dataDxfId="50"/>
    <tableColumn id="4" name="Price ($)" dataDxfId="51"/>
    <tableColumn id="5" name="Quantity" dataDxfId="52"/>
    <tableColumn id="6" name="Category" dataDxfId="5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5"/>
  <sheetViews>
    <sheetView workbookViewId="0">
      <selection activeCell="G23" sqref="G23"/>
    </sheetView>
  </sheetViews>
  <sheetFormatPr defaultColWidth="9" defaultRowHeight="14.4" outlineLevelCol="5"/>
  <cols>
    <col min="1" max="1" width="10.7777777777778" customWidth="1"/>
    <col min="2" max="2" width="13.6666666666667" customWidth="1"/>
    <col min="3" max="3" width="11.7777777777778" customWidth="1"/>
    <col min="6" max="6" width="11" customWidth="1"/>
  </cols>
  <sheetData>
    <row r="1" spans="1:6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>
      <c r="A2" s="40" t="s">
        <v>6</v>
      </c>
      <c r="B2" s="40" t="s">
        <v>7</v>
      </c>
      <c r="C2" s="40" t="s">
        <v>8</v>
      </c>
      <c r="D2" s="40">
        <v>1000</v>
      </c>
      <c r="E2" s="40">
        <v>30</v>
      </c>
      <c r="F2" s="40" t="s">
        <v>9</v>
      </c>
    </row>
    <row r="3" spans="1:6">
      <c r="A3" s="42" t="s">
        <v>10</v>
      </c>
      <c r="B3" s="42" t="s">
        <v>11</v>
      </c>
      <c r="C3" s="42" t="s">
        <v>12</v>
      </c>
      <c r="D3" s="42">
        <v>80</v>
      </c>
      <c r="E3" s="42">
        <v>15</v>
      </c>
      <c r="F3" s="42" t="s">
        <v>13</v>
      </c>
    </row>
    <row r="4" spans="1:6">
      <c r="A4" s="40" t="s">
        <v>14</v>
      </c>
      <c r="B4" s="40" t="s">
        <v>15</v>
      </c>
      <c r="C4" s="40" t="s">
        <v>16</v>
      </c>
      <c r="D4" s="40">
        <v>130</v>
      </c>
      <c r="E4" s="40">
        <v>40</v>
      </c>
      <c r="F4" s="40" t="s">
        <v>17</v>
      </c>
    </row>
    <row r="5" spans="1:6">
      <c r="A5" s="42" t="s">
        <v>18</v>
      </c>
      <c r="B5" s="42" t="s">
        <v>19</v>
      </c>
      <c r="C5" s="42" t="s">
        <v>20</v>
      </c>
      <c r="D5" s="42">
        <v>900</v>
      </c>
      <c r="E5" s="42">
        <v>25</v>
      </c>
      <c r="F5" s="42" t="s">
        <v>9</v>
      </c>
    </row>
    <row r="6" spans="1:6">
      <c r="A6" s="40" t="s">
        <v>21</v>
      </c>
      <c r="B6" s="40" t="s">
        <v>22</v>
      </c>
      <c r="C6" s="40" t="s">
        <v>23</v>
      </c>
      <c r="D6" s="40">
        <v>70</v>
      </c>
      <c r="E6" s="40">
        <v>20</v>
      </c>
      <c r="F6" s="40"/>
    </row>
    <row r="7" spans="1:6">
      <c r="A7" s="42" t="s">
        <v>24</v>
      </c>
      <c r="B7" s="42" t="s">
        <v>25</v>
      </c>
      <c r="C7" s="42" t="s">
        <v>26</v>
      </c>
      <c r="D7" s="42"/>
      <c r="E7" s="42">
        <v>45</v>
      </c>
      <c r="F7" s="42" t="s">
        <v>27</v>
      </c>
    </row>
    <row r="8" spans="1:6">
      <c r="A8" s="40" t="s">
        <v>28</v>
      </c>
      <c r="B8" s="40" t="s">
        <v>29</v>
      </c>
      <c r="C8" s="40" t="s">
        <v>30</v>
      </c>
      <c r="D8" s="40">
        <v>30</v>
      </c>
      <c r="E8" s="40">
        <v>5</v>
      </c>
      <c r="F8" s="40" t="s">
        <v>13</v>
      </c>
    </row>
    <row r="9" spans="1:6">
      <c r="A9" s="42" t="s">
        <v>31</v>
      </c>
      <c r="B9" s="42" t="s">
        <v>32</v>
      </c>
      <c r="C9" s="42" t="s">
        <v>33</v>
      </c>
      <c r="D9" s="42">
        <v>90</v>
      </c>
      <c r="E9" s="42">
        <v>35</v>
      </c>
      <c r="F9" s="42" t="s">
        <v>17</v>
      </c>
    </row>
    <row r="10" spans="1:6">
      <c r="A10" s="40" t="s">
        <v>34</v>
      </c>
      <c r="B10" s="40" t="s">
        <v>35</v>
      </c>
      <c r="C10" s="40" t="s">
        <v>36</v>
      </c>
      <c r="D10" s="40">
        <v>500</v>
      </c>
      <c r="E10" s="40">
        <v>50</v>
      </c>
      <c r="F10" s="40" t="s">
        <v>9</v>
      </c>
    </row>
    <row r="11" spans="1:6">
      <c r="A11" s="42" t="s">
        <v>37</v>
      </c>
      <c r="B11" s="42" t="s">
        <v>38</v>
      </c>
      <c r="C11" s="42" t="s">
        <v>39</v>
      </c>
      <c r="D11" s="42">
        <v>130</v>
      </c>
      <c r="E11" s="42">
        <v>10</v>
      </c>
      <c r="F11" s="42" t="s">
        <v>40</v>
      </c>
    </row>
    <row r="12" spans="1:6">
      <c r="A12" s="40" t="s">
        <v>41</v>
      </c>
      <c r="B12" s="40" t="s">
        <v>42</v>
      </c>
      <c r="C12" s="40" t="s">
        <v>43</v>
      </c>
      <c r="D12" s="40">
        <v>950</v>
      </c>
      <c r="E12" s="40">
        <v>25</v>
      </c>
      <c r="F12" s="40" t="s">
        <v>9</v>
      </c>
    </row>
    <row r="13" spans="1:6">
      <c r="A13" s="42" t="s">
        <v>44</v>
      </c>
      <c r="B13" s="42" t="s">
        <v>11</v>
      </c>
      <c r="C13" s="42" t="s">
        <v>30</v>
      </c>
      <c r="D13" s="42">
        <v>90</v>
      </c>
      <c r="E13" s="42">
        <v>40</v>
      </c>
      <c r="F13" s="42"/>
    </row>
    <row r="14" spans="1:6">
      <c r="A14" s="40" t="s">
        <v>45</v>
      </c>
      <c r="B14" s="40" t="s">
        <v>15</v>
      </c>
      <c r="C14" s="40" t="s">
        <v>46</v>
      </c>
      <c r="D14" s="40">
        <v>120</v>
      </c>
      <c r="E14" s="40">
        <v>35</v>
      </c>
      <c r="F14" s="40"/>
    </row>
    <row r="15" spans="1:6">
      <c r="A15" s="42" t="s">
        <v>47</v>
      </c>
      <c r="B15" s="42" t="s">
        <v>48</v>
      </c>
      <c r="C15" s="42" t="s">
        <v>49</v>
      </c>
      <c r="D15" s="42">
        <v>150</v>
      </c>
      <c r="E15" s="42">
        <v>15</v>
      </c>
      <c r="F15" s="42" t="s">
        <v>27</v>
      </c>
    </row>
    <row r="16" spans="1:6">
      <c r="A16" s="40" t="s">
        <v>50</v>
      </c>
      <c r="B16" s="40" t="s">
        <v>51</v>
      </c>
      <c r="C16" s="40" t="s">
        <v>52</v>
      </c>
      <c r="D16" s="40">
        <v>250</v>
      </c>
      <c r="E16" s="40">
        <v>20</v>
      </c>
      <c r="F16" s="40" t="s">
        <v>27</v>
      </c>
    </row>
    <row r="17" spans="1:6">
      <c r="A17" s="42" t="s">
        <v>53</v>
      </c>
      <c r="B17" s="42" t="s">
        <v>54</v>
      </c>
      <c r="C17" s="42" t="s">
        <v>55</v>
      </c>
      <c r="D17" s="42">
        <v>50</v>
      </c>
      <c r="E17" s="42">
        <v>35</v>
      </c>
      <c r="F17" s="42" t="s">
        <v>56</v>
      </c>
    </row>
    <row r="18" spans="1:6">
      <c r="A18" s="40" t="s">
        <v>57</v>
      </c>
      <c r="B18" s="40" t="s">
        <v>48</v>
      </c>
      <c r="C18" s="40" t="s">
        <v>58</v>
      </c>
      <c r="D18" s="40">
        <v>160</v>
      </c>
      <c r="E18" s="40">
        <v>15</v>
      </c>
      <c r="F18" s="40" t="s">
        <v>27</v>
      </c>
    </row>
    <row r="19" spans="1:6">
      <c r="A19" s="42" t="s">
        <v>59</v>
      </c>
      <c r="B19" s="42" t="s">
        <v>7</v>
      </c>
      <c r="C19" s="42" t="s">
        <v>60</v>
      </c>
      <c r="D19" s="42">
        <v>980</v>
      </c>
      <c r="E19" s="42">
        <v>10</v>
      </c>
      <c r="F19" s="42" t="s">
        <v>9</v>
      </c>
    </row>
    <row r="20" spans="1:6">
      <c r="A20" s="40" t="s">
        <v>61</v>
      </c>
      <c r="B20" s="40" t="s">
        <v>62</v>
      </c>
      <c r="C20" s="40" t="s">
        <v>63</v>
      </c>
      <c r="D20" s="40">
        <v>150</v>
      </c>
      <c r="E20" s="40">
        <v>15</v>
      </c>
      <c r="F20" s="40" t="s">
        <v>13</v>
      </c>
    </row>
    <row r="21" spans="1:6">
      <c r="A21" s="42" t="s">
        <v>64</v>
      </c>
      <c r="B21" s="42" t="s">
        <v>65</v>
      </c>
      <c r="C21" s="42" t="s">
        <v>66</v>
      </c>
      <c r="D21" s="42"/>
      <c r="E21" s="42">
        <v>10</v>
      </c>
      <c r="F21" s="42" t="s">
        <v>40</v>
      </c>
    </row>
    <row r="22" spans="1:6">
      <c r="A22" s="40" t="s">
        <v>67</v>
      </c>
      <c r="B22" s="40" t="s">
        <v>68</v>
      </c>
      <c r="C22" s="40" t="s">
        <v>69</v>
      </c>
      <c r="D22" s="40">
        <v>700</v>
      </c>
      <c r="E22" s="40">
        <v>50</v>
      </c>
      <c r="F22" s="40" t="s">
        <v>9</v>
      </c>
    </row>
    <row r="23" spans="1:6">
      <c r="A23" s="42" t="s">
        <v>70</v>
      </c>
      <c r="B23" s="42" t="s">
        <v>71</v>
      </c>
      <c r="C23" s="42" t="s">
        <v>72</v>
      </c>
      <c r="D23" s="42">
        <v>80</v>
      </c>
      <c r="E23" s="42">
        <v>20</v>
      </c>
      <c r="F23" s="42" t="s">
        <v>17</v>
      </c>
    </row>
    <row r="24" spans="1:6">
      <c r="A24" s="40" t="s">
        <v>73</v>
      </c>
      <c r="B24" s="40" t="s">
        <v>74</v>
      </c>
      <c r="C24" s="40" t="s">
        <v>75</v>
      </c>
      <c r="D24" s="40">
        <v>150</v>
      </c>
      <c r="E24" s="40">
        <v>30</v>
      </c>
      <c r="F24" s="40"/>
    </row>
    <row r="25" spans="1:6">
      <c r="A25" s="42" t="s">
        <v>53</v>
      </c>
      <c r="B25" s="42" t="s">
        <v>54</v>
      </c>
      <c r="C25" s="42" t="s">
        <v>55</v>
      </c>
      <c r="D25" s="42">
        <v>50</v>
      </c>
      <c r="E25" s="42">
        <v>35</v>
      </c>
      <c r="F25" s="42" t="s">
        <v>56</v>
      </c>
    </row>
    <row r="26" spans="1:6">
      <c r="A26" s="40" t="s">
        <v>76</v>
      </c>
      <c r="B26" s="40" t="s">
        <v>77</v>
      </c>
      <c r="C26" s="40" t="s">
        <v>78</v>
      </c>
      <c r="D26" s="40">
        <v>800</v>
      </c>
      <c r="E26" s="40">
        <v>45</v>
      </c>
      <c r="F26" s="40" t="s">
        <v>9</v>
      </c>
    </row>
    <row r="27" spans="1:6">
      <c r="A27" s="42" t="s">
        <v>79</v>
      </c>
      <c r="B27" s="42" t="s">
        <v>62</v>
      </c>
      <c r="C27" s="42" t="s">
        <v>80</v>
      </c>
      <c r="D27" s="42"/>
      <c r="E27" s="42">
        <v>25</v>
      </c>
      <c r="F27" s="42" t="s">
        <v>13</v>
      </c>
    </row>
    <row r="28" spans="1:6">
      <c r="A28" s="40" t="s">
        <v>81</v>
      </c>
      <c r="B28" s="40" t="s">
        <v>32</v>
      </c>
      <c r="C28" s="40" t="s">
        <v>82</v>
      </c>
      <c r="D28" s="40">
        <v>400</v>
      </c>
      <c r="E28" s="40">
        <v>40</v>
      </c>
      <c r="F28" s="40" t="s">
        <v>17</v>
      </c>
    </row>
    <row r="29" spans="1:6">
      <c r="A29" s="42" t="s">
        <v>50</v>
      </c>
      <c r="B29" s="42" t="s">
        <v>51</v>
      </c>
      <c r="C29" s="42" t="s">
        <v>52</v>
      </c>
      <c r="D29" s="42">
        <v>250</v>
      </c>
      <c r="E29" s="42">
        <v>20</v>
      </c>
      <c r="F29" s="42" t="s">
        <v>27</v>
      </c>
    </row>
    <row r="30" spans="1:6">
      <c r="A30" s="40" t="s">
        <v>83</v>
      </c>
      <c r="B30" s="40" t="s">
        <v>84</v>
      </c>
      <c r="C30" s="40" t="s">
        <v>85</v>
      </c>
      <c r="D30" s="40">
        <v>60</v>
      </c>
      <c r="E30" s="40">
        <v>30</v>
      </c>
      <c r="F30" s="40" t="s">
        <v>13</v>
      </c>
    </row>
    <row r="31" spans="1:6">
      <c r="A31" s="42" t="s">
        <v>86</v>
      </c>
      <c r="B31" s="42" t="s">
        <v>87</v>
      </c>
      <c r="C31" s="42" t="s">
        <v>88</v>
      </c>
      <c r="D31" s="42">
        <v>40</v>
      </c>
      <c r="E31" s="42">
        <v>10</v>
      </c>
      <c r="F31" s="42" t="s">
        <v>17</v>
      </c>
    </row>
    <row r="32" spans="1:6">
      <c r="A32" s="40" t="s">
        <v>89</v>
      </c>
      <c r="B32" s="40" t="s">
        <v>74</v>
      </c>
      <c r="C32" s="40" t="s">
        <v>90</v>
      </c>
      <c r="D32" s="40">
        <v>130</v>
      </c>
      <c r="E32" s="40">
        <v>5</v>
      </c>
      <c r="F32" s="40" t="s">
        <v>9</v>
      </c>
    </row>
    <row r="33" spans="1:6">
      <c r="A33" s="42" t="s">
        <v>91</v>
      </c>
      <c r="B33" s="42" t="s">
        <v>92</v>
      </c>
      <c r="C33" s="42" t="s">
        <v>93</v>
      </c>
      <c r="D33" s="42">
        <v>50</v>
      </c>
      <c r="E33" s="42">
        <v>50</v>
      </c>
      <c r="F33" s="42" t="s">
        <v>13</v>
      </c>
    </row>
    <row r="34" spans="1:6">
      <c r="A34" s="40" t="s">
        <v>41</v>
      </c>
      <c r="B34" s="40" t="s">
        <v>42</v>
      </c>
      <c r="C34" s="40" t="s">
        <v>43</v>
      </c>
      <c r="D34" s="40">
        <v>950</v>
      </c>
      <c r="E34" s="40">
        <v>25</v>
      </c>
      <c r="F34" s="40" t="s">
        <v>9</v>
      </c>
    </row>
    <row r="35" spans="1:6">
      <c r="A35" s="42" t="s">
        <v>94</v>
      </c>
      <c r="B35" s="42" t="s">
        <v>95</v>
      </c>
      <c r="C35" s="42" t="s">
        <v>96</v>
      </c>
      <c r="D35" s="42">
        <v>100</v>
      </c>
      <c r="E35" s="42">
        <v>20</v>
      </c>
      <c r="F35" s="42" t="s">
        <v>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I32"/>
  <sheetViews>
    <sheetView workbookViewId="0">
      <selection activeCell="G23" sqref="G23"/>
    </sheetView>
  </sheetViews>
  <sheetFormatPr defaultColWidth="9" defaultRowHeight="14.4"/>
  <cols>
    <col min="1" max="1" width="10.7777777777778" customWidth="1"/>
    <col min="2" max="2" width="13.6666666666667" customWidth="1"/>
    <col min="3" max="3" width="11.7777777777778" customWidth="1"/>
    <col min="4" max="4" width="8.33333333333333" customWidth="1"/>
    <col min="5" max="5" width="8.44444444444444" customWidth="1"/>
    <col min="6" max="6" width="1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9">
      <c r="A2" s="4" t="s">
        <v>6</v>
      </c>
      <c r="B2" s="5" t="s">
        <v>7</v>
      </c>
      <c r="C2" s="5" t="s">
        <v>8</v>
      </c>
      <c r="D2" s="5">
        <v>1000</v>
      </c>
      <c r="E2" s="5">
        <v>30</v>
      </c>
      <c r="F2" s="6" t="s">
        <v>9</v>
      </c>
    </row>
    <row r="3" spans="1:9">
      <c r="A3" s="7" t="s">
        <v>10</v>
      </c>
      <c r="B3" s="8" t="s">
        <v>11</v>
      </c>
      <c r="C3" s="8" t="s">
        <v>12</v>
      </c>
      <c r="D3" s="8">
        <v>80</v>
      </c>
      <c r="E3" s="8">
        <v>15</v>
      </c>
      <c r="F3" s="9" t="s">
        <v>13</v>
      </c>
    </row>
    <row r="4" spans="1:9">
      <c r="A4" s="4" t="s">
        <v>14</v>
      </c>
      <c r="B4" s="5" t="s">
        <v>15</v>
      </c>
      <c r="C4" s="5" t="s">
        <v>16</v>
      </c>
      <c r="D4" s="5">
        <v>130</v>
      </c>
      <c r="E4" s="5">
        <v>40</v>
      </c>
      <c r="F4" s="6" t="s">
        <v>17</v>
      </c>
    </row>
    <row r="5" spans="1:9">
      <c r="A5" s="7" t="s">
        <v>18</v>
      </c>
      <c r="B5" s="8" t="s">
        <v>19</v>
      </c>
      <c r="C5" s="8" t="s">
        <v>20</v>
      </c>
      <c r="D5" s="8">
        <v>900</v>
      </c>
      <c r="E5" s="8">
        <v>25</v>
      </c>
      <c r="F5" s="6" t="s">
        <v>9</v>
      </c>
    </row>
    <row r="6" spans="1:9">
      <c r="A6" s="4" t="s">
        <v>21</v>
      </c>
      <c r="B6" s="5" t="s">
        <v>22</v>
      </c>
      <c r="C6" s="5" t="s">
        <v>23</v>
      </c>
      <c r="D6" s="5">
        <v>70</v>
      </c>
      <c r="E6" s="5">
        <v>20</v>
      </c>
      <c r="F6" s="6" t="s">
        <v>13</v>
      </c>
    </row>
    <row r="7" spans="1:9">
      <c r="A7" s="7" t="s">
        <v>24</v>
      </c>
      <c r="B7" s="8" t="s">
        <v>25</v>
      </c>
      <c r="C7" s="8" t="s">
        <v>26</v>
      </c>
      <c r="D7" s="8">
        <v>298</v>
      </c>
      <c r="E7" s="8">
        <v>45</v>
      </c>
      <c r="F7" s="6" t="s">
        <v>9</v>
      </c>
      <c r="H7" t="s">
        <v>97</v>
      </c>
      <c r="I7">
        <f>AVERAGE(D2:D34)</f>
        <v>291.677419354839</v>
      </c>
    </row>
    <row r="8" spans="1:9">
      <c r="A8" s="4" t="s">
        <v>28</v>
      </c>
      <c r="B8" s="5" t="s">
        <v>29</v>
      </c>
      <c r="C8" s="5" t="s">
        <v>30</v>
      </c>
      <c r="D8" s="5">
        <v>30</v>
      </c>
      <c r="E8" s="5">
        <v>5</v>
      </c>
      <c r="F8" s="6" t="s">
        <v>13</v>
      </c>
    </row>
    <row r="9" spans="1:9">
      <c r="A9" s="7" t="s">
        <v>31</v>
      </c>
      <c r="B9" s="8" t="s">
        <v>32</v>
      </c>
      <c r="C9" s="8" t="s">
        <v>33</v>
      </c>
      <c r="D9" s="8">
        <v>90</v>
      </c>
      <c r="E9" s="8">
        <v>35</v>
      </c>
      <c r="F9" s="9" t="s">
        <v>17</v>
      </c>
    </row>
    <row r="10" spans="1:9">
      <c r="A10" s="4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6" t="s">
        <v>9</v>
      </c>
    </row>
    <row r="11" spans="1:9">
      <c r="A11" s="7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9" t="s">
        <v>40</v>
      </c>
    </row>
    <row r="12" spans="1:9">
      <c r="A12" s="4" t="s">
        <v>41</v>
      </c>
      <c r="B12" s="5" t="s">
        <v>42</v>
      </c>
      <c r="C12" s="5" t="s">
        <v>43</v>
      </c>
      <c r="D12" s="5">
        <v>950</v>
      </c>
      <c r="E12" s="5">
        <v>25</v>
      </c>
      <c r="F12" s="6" t="s">
        <v>9</v>
      </c>
    </row>
    <row r="13" spans="1:9">
      <c r="A13" s="7" t="s">
        <v>44</v>
      </c>
      <c r="B13" s="8" t="s">
        <v>11</v>
      </c>
      <c r="C13" s="8" t="s">
        <v>30</v>
      </c>
      <c r="D13" s="8">
        <v>90</v>
      </c>
      <c r="E13" s="8">
        <v>40</v>
      </c>
      <c r="F13" s="9" t="s">
        <v>9</v>
      </c>
    </row>
    <row r="14" spans="1:9">
      <c r="A14" s="4" t="s">
        <v>45</v>
      </c>
      <c r="B14" s="5" t="s">
        <v>15</v>
      </c>
      <c r="C14" s="5" t="s">
        <v>46</v>
      </c>
      <c r="D14" s="5">
        <v>120</v>
      </c>
      <c r="E14" s="5">
        <v>35</v>
      </c>
      <c r="F14" s="6" t="s">
        <v>17</v>
      </c>
    </row>
    <row r="15" spans="1:9">
      <c r="A15" s="7" t="s">
        <v>47</v>
      </c>
      <c r="B15" s="8" t="s">
        <v>48</v>
      </c>
      <c r="C15" s="8" t="s">
        <v>49</v>
      </c>
      <c r="D15" s="8">
        <v>150</v>
      </c>
      <c r="E15" s="8">
        <v>15</v>
      </c>
      <c r="F15" s="6" t="s">
        <v>9</v>
      </c>
    </row>
    <row r="16" spans="1:9">
      <c r="A16" s="4" t="s">
        <v>50</v>
      </c>
      <c r="B16" s="5" t="s">
        <v>51</v>
      </c>
      <c r="C16" s="5" t="s">
        <v>52</v>
      </c>
      <c r="D16" s="5">
        <v>250</v>
      </c>
      <c r="E16" s="5">
        <v>20</v>
      </c>
      <c r="F16" s="6" t="s">
        <v>9</v>
      </c>
    </row>
    <row r="17" spans="1:9">
      <c r="A17" s="7" t="s">
        <v>53</v>
      </c>
      <c r="B17" s="8" t="s">
        <v>54</v>
      </c>
      <c r="C17" s="8" t="s">
        <v>55</v>
      </c>
      <c r="D17" s="8">
        <v>50</v>
      </c>
      <c r="E17" s="8">
        <v>35</v>
      </c>
      <c r="F17" s="9" t="s">
        <v>56</v>
      </c>
    </row>
    <row r="18" spans="1:9">
      <c r="A18" s="4" t="s">
        <v>57</v>
      </c>
      <c r="B18" s="5" t="s">
        <v>48</v>
      </c>
      <c r="C18" s="5" t="s">
        <v>58</v>
      </c>
      <c r="D18" s="5">
        <v>160</v>
      </c>
      <c r="E18" s="5">
        <v>15</v>
      </c>
      <c r="F18" s="6" t="s">
        <v>9</v>
      </c>
    </row>
    <row r="19" spans="1:9">
      <c r="A19" s="7" t="s">
        <v>59</v>
      </c>
      <c r="B19" s="8" t="s">
        <v>7</v>
      </c>
      <c r="C19" s="8" t="s">
        <v>60</v>
      </c>
      <c r="D19" s="8">
        <v>980</v>
      </c>
      <c r="E19" s="8">
        <v>10</v>
      </c>
      <c r="F19" s="6" t="s">
        <v>9</v>
      </c>
    </row>
    <row r="20" spans="1:9">
      <c r="A20" s="4" t="s">
        <v>61</v>
      </c>
      <c r="B20" s="5" t="s">
        <v>62</v>
      </c>
      <c r="C20" s="5" t="s">
        <v>63</v>
      </c>
      <c r="D20" s="5">
        <v>150</v>
      </c>
      <c r="E20" s="5">
        <v>15</v>
      </c>
      <c r="F20" s="6" t="s">
        <v>13</v>
      </c>
      <c r="H20" t="s">
        <v>13</v>
      </c>
      <c r="I20">
        <f>AVERAGE(D3:D31)</f>
        <v>273.862068965517</v>
      </c>
    </row>
    <row r="21" spans="1:9">
      <c r="A21" s="7" t="s">
        <v>64</v>
      </c>
      <c r="B21" s="8" t="s">
        <v>65</v>
      </c>
      <c r="C21" s="8" t="s">
        <v>66</v>
      </c>
      <c r="D21" s="8">
        <v>130</v>
      </c>
      <c r="E21" s="8">
        <v>10</v>
      </c>
      <c r="F21" s="9" t="s">
        <v>40</v>
      </c>
    </row>
    <row r="22" spans="1:9">
      <c r="A22" s="4" t="s">
        <v>67</v>
      </c>
      <c r="B22" s="5" t="s">
        <v>68</v>
      </c>
      <c r="C22" s="5" t="s">
        <v>69</v>
      </c>
      <c r="D22" s="5">
        <v>700</v>
      </c>
      <c r="E22" s="5">
        <v>50</v>
      </c>
      <c r="F22" s="6" t="s">
        <v>9</v>
      </c>
    </row>
    <row r="23" spans="1:9">
      <c r="A23" s="7" t="s">
        <v>70</v>
      </c>
      <c r="B23" s="8" t="s">
        <v>71</v>
      </c>
      <c r="C23" s="8" t="s">
        <v>72</v>
      </c>
      <c r="D23" s="8">
        <v>80</v>
      </c>
      <c r="E23" s="8">
        <v>20</v>
      </c>
      <c r="F23" s="9" t="s">
        <v>17</v>
      </c>
    </row>
    <row r="24" spans="1:9">
      <c r="A24" s="4" t="s">
        <v>73</v>
      </c>
      <c r="B24" s="5" t="s">
        <v>74</v>
      </c>
      <c r="C24" s="5" t="s">
        <v>75</v>
      </c>
      <c r="D24" s="5">
        <v>150</v>
      </c>
      <c r="E24" s="5">
        <v>30</v>
      </c>
      <c r="F24" s="6" t="s">
        <v>9</v>
      </c>
    </row>
    <row r="25" spans="1:9">
      <c r="A25" s="4" t="s">
        <v>76</v>
      </c>
      <c r="B25" s="5" t="s">
        <v>77</v>
      </c>
      <c r="C25" s="5" t="s">
        <v>78</v>
      </c>
      <c r="D25" s="5">
        <v>800</v>
      </c>
      <c r="E25" s="5">
        <v>45</v>
      </c>
      <c r="F25" s="6" t="s">
        <v>9</v>
      </c>
    </row>
    <row r="26" spans="1:9">
      <c r="A26" s="7" t="s">
        <v>79</v>
      </c>
      <c r="B26" s="8" t="s">
        <v>62</v>
      </c>
      <c r="C26" s="8" t="s">
        <v>80</v>
      </c>
      <c r="D26" s="8">
        <v>274</v>
      </c>
      <c r="E26" s="8">
        <v>25</v>
      </c>
      <c r="F26" s="9" t="s">
        <v>13</v>
      </c>
    </row>
    <row r="27" spans="1:9">
      <c r="A27" s="4" t="s">
        <v>81</v>
      </c>
      <c r="B27" s="5" t="s">
        <v>32</v>
      </c>
      <c r="C27" s="5" t="s">
        <v>82</v>
      </c>
      <c r="D27" s="5">
        <v>400</v>
      </c>
      <c r="E27" s="5">
        <v>40</v>
      </c>
      <c r="F27" s="6" t="s">
        <v>17</v>
      </c>
    </row>
    <row r="28" spans="1:9">
      <c r="A28" s="4" t="s">
        <v>83</v>
      </c>
      <c r="B28" s="5" t="s">
        <v>84</v>
      </c>
      <c r="C28" s="5" t="s">
        <v>85</v>
      </c>
      <c r="D28" s="5">
        <v>60</v>
      </c>
      <c r="E28" s="5">
        <v>30</v>
      </c>
      <c r="F28" s="6" t="s">
        <v>13</v>
      </c>
    </row>
    <row r="29" spans="1:9">
      <c r="A29" s="7" t="s">
        <v>86</v>
      </c>
      <c r="B29" s="8" t="s">
        <v>87</v>
      </c>
      <c r="C29" s="8" t="s">
        <v>88</v>
      </c>
      <c r="D29" s="8">
        <v>40</v>
      </c>
      <c r="E29" s="8">
        <v>10</v>
      </c>
      <c r="F29" s="9" t="s">
        <v>17</v>
      </c>
    </row>
    <row r="30" spans="1:9">
      <c r="A30" s="4" t="s">
        <v>89</v>
      </c>
      <c r="B30" s="5" t="s">
        <v>74</v>
      </c>
      <c r="C30" s="5" t="s">
        <v>90</v>
      </c>
      <c r="D30" s="5">
        <v>130</v>
      </c>
      <c r="E30" s="5">
        <v>5</v>
      </c>
      <c r="F30" s="6" t="s">
        <v>9</v>
      </c>
    </row>
    <row r="31" spans="1:9">
      <c r="A31" s="7" t="s">
        <v>91</v>
      </c>
      <c r="B31" s="8" t="s">
        <v>92</v>
      </c>
      <c r="C31" s="8" t="s">
        <v>93</v>
      </c>
      <c r="D31" s="8">
        <v>50</v>
      </c>
      <c r="E31" s="8">
        <v>50</v>
      </c>
      <c r="F31" s="9" t="s">
        <v>13</v>
      </c>
    </row>
    <row r="32" spans="1:9">
      <c r="A32" s="7" t="s">
        <v>94</v>
      </c>
      <c r="B32" s="8" t="s">
        <v>95</v>
      </c>
      <c r="C32" s="8" t="s">
        <v>96</v>
      </c>
      <c r="D32" s="8">
        <v>100</v>
      </c>
      <c r="E32" s="8">
        <v>20</v>
      </c>
      <c r="F32" s="9" t="s">
        <v>56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2"/>
  <sheetViews>
    <sheetView workbookViewId="0">
      <selection activeCell="H28" sqref="H28"/>
    </sheetView>
  </sheetViews>
  <sheetFormatPr defaultColWidth="9" defaultRowHeight="14.4" outlineLevelCol="5"/>
  <cols>
    <col min="1" max="1" width="10.7777777777778" customWidth="1"/>
    <col min="2" max="2" width="13.6666666666667" customWidth="1"/>
    <col min="3" max="3" width="11.7777777777778" customWidth="1"/>
    <col min="4" max="4" width="8.33333333333333" customWidth="1"/>
    <col min="5" max="5" width="8.44444444444444" customWidth="1"/>
    <col min="6" max="6" width="1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>
        <v>1000</v>
      </c>
      <c r="E2" s="5">
        <v>30</v>
      </c>
      <c r="F2" s="6" t="s">
        <v>9</v>
      </c>
    </row>
    <row r="3" spans="1:6">
      <c r="A3" s="7" t="s">
        <v>10</v>
      </c>
      <c r="B3" s="8" t="s">
        <v>11</v>
      </c>
      <c r="C3" s="8" t="s">
        <v>12</v>
      </c>
      <c r="D3" s="8">
        <v>80</v>
      </c>
      <c r="E3" s="8">
        <v>15</v>
      </c>
      <c r="F3" s="9" t="s">
        <v>13</v>
      </c>
    </row>
    <row r="4" spans="1:6">
      <c r="A4" s="4" t="s">
        <v>14</v>
      </c>
      <c r="B4" s="5" t="s">
        <v>15</v>
      </c>
      <c r="C4" s="5" t="s">
        <v>16</v>
      </c>
      <c r="D4" s="5">
        <v>130</v>
      </c>
      <c r="E4" s="5">
        <v>40</v>
      </c>
      <c r="F4" s="6" t="s">
        <v>17</v>
      </c>
    </row>
    <row r="5" spans="1:6">
      <c r="A5" s="7" t="s">
        <v>18</v>
      </c>
      <c r="B5" s="8" t="s">
        <v>19</v>
      </c>
      <c r="C5" s="8" t="s">
        <v>20</v>
      </c>
      <c r="D5" s="8">
        <v>900</v>
      </c>
      <c r="E5" s="8">
        <v>25</v>
      </c>
      <c r="F5" s="6" t="s">
        <v>9</v>
      </c>
    </row>
    <row r="6" spans="1:6">
      <c r="A6" s="4" t="s">
        <v>21</v>
      </c>
      <c r="B6" s="5" t="s">
        <v>22</v>
      </c>
      <c r="C6" s="5" t="s">
        <v>23</v>
      </c>
      <c r="D6" s="5">
        <v>70</v>
      </c>
      <c r="E6" s="5">
        <v>20</v>
      </c>
      <c r="F6" s="6" t="s">
        <v>13</v>
      </c>
    </row>
    <row r="7" spans="1:6">
      <c r="A7" s="7" t="s">
        <v>24</v>
      </c>
      <c r="B7" s="8" t="s">
        <v>25</v>
      </c>
      <c r="C7" s="8" t="s">
        <v>26</v>
      </c>
      <c r="D7" s="8">
        <v>298</v>
      </c>
      <c r="E7" s="8">
        <v>45</v>
      </c>
      <c r="F7" s="6" t="s">
        <v>9</v>
      </c>
    </row>
    <row r="8" spans="1:6">
      <c r="A8" s="4" t="s">
        <v>28</v>
      </c>
      <c r="B8" s="5" t="s">
        <v>29</v>
      </c>
      <c r="C8" s="5" t="s">
        <v>30</v>
      </c>
      <c r="D8" s="5">
        <v>30</v>
      </c>
      <c r="E8" s="5">
        <v>5</v>
      </c>
      <c r="F8" s="6" t="s">
        <v>13</v>
      </c>
    </row>
    <row r="9" spans="1:6">
      <c r="A9" s="7" t="s">
        <v>31</v>
      </c>
      <c r="B9" s="8" t="s">
        <v>32</v>
      </c>
      <c r="C9" s="8" t="s">
        <v>33</v>
      </c>
      <c r="D9" s="8">
        <v>90</v>
      </c>
      <c r="E9" s="8">
        <v>35</v>
      </c>
      <c r="F9" s="9" t="s">
        <v>17</v>
      </c>
    </row>
    <row r="10" spans="1:6">
      <c r="A10" s="4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6" t="s">
        <v>9</v>
      </c>
    </row>
    <row r="11" spans="1:6">
      <c r="A11" s="7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9" t="s">
        <v>40</v>
      </c>
    </row>
    <row r="12" spans="1:6">
      <c r="A12" s="4" t="s">
        <v>41</v>
      </c>
      <c r="B12" s="5" t="s">
        <v>42</v>
      </c>
      <c r="C12" s="5" t="s">
        <v>43</v>
      </c>
      <c r="D12" s="5">
        <v>950</v>
      </c>
      <c r="E12" s="5">
        <v>25</v>
      </c>
      <c r="F12" s="6" t="s">
        <v>9</v>
      </c>
    </row>
    <row r="13" spans="1:6">
      <c r="A13" s="7" t="s">
        <v>44</v>
      </c>
      <c r="B13" s="8" t="s">
        <v>11</v>
      </c>
      <c r="C13" s="8" t="s">
        <v>30</v>
      </c>
      <c r="D13" s="8">
        <v>90</v>
      </c>
      <c r="E13" s="8">
        <v>40</v>
      </c>
      <c r="F13" s="9" t="s">
        <v>9</v>
      </c>
    </row>
    <row r="14" spans="1:6">
      <c r="A14" s="4" t="s">
        <v>45</v>
      </c>
      <c r="B14" s="5" t="s">
        <v>15</v>
      </c>
      <c r="C14" s="5" t="s">
        <v>46</v>
      </c>
      <c r="D14" s="5">
        <v>120</v>
      </c>
      <c r="E14" s="5">
        <v>35</v>
      </c>
      <c r="F14" s="6" t="s">
        <v>17</v>
      </c>
    </row>
    <row r="15" spans="1:6">
      <c r="A15" s="7" t="s">
        <v>47</v>
      </c>
      <c r="B15" s="8" t="s">
        <v>48</v>
      </c>
      <c r="C15" s="8" t="s">
        <v>49</v>
      </c>
      <c r="D15" s="8">
        <v>150</v>
      </c>
      <c r="E15" s="8">
        <v>15</v>
      </c>
      <c r="F15" s="6" t="s">
        <v>9</v>
      </c>
    </row>
    <row r="16" spans="1:6">
      <c r="A16" s="4" t="s">
        <v>50</v>
      </c>
      <c r="B16" s="5" t="s">
        <v>51</v>
      </c>
      <c r="C16" s="5" t="s">
        <v>52</v>
      </c>
      <c r="D16" s="5">
        <v>250</v>
      </c>
      <c r="E16" s="5">
        <v>20</v>
      </c>
      <c r="F16" s="6" t="s">
        <v>9</v>
      </c>
    </row>
    <row r="17" spans="1:6">
      <c r="A17" s="7" t="s">
        <v>53</v>
      </c>
      <c r="B17" s="8" t="s">
        <v>54</v>
      </c>
      <c r="C17" s="8" t="s">
        <v>55</v>
      </c>
      <c r="D17" s="8">
        <v>50</v>
      </c>
      <c r="E17" s="8">
        <v>35</v>
      </c>
      <c r="F17" s="9" t="s">
        <v>56</v>
      </c>
    </row>
    <row r="18" spans="1:6">
      <c r="A18" s="4" t="s">
        <v>57</v>
      </c>
      <c r="B18" s="5" t="s">
        <v>48</v>
      </c>
      <c r="C18" s="5" t="s">
        <v>58</v>
      </c>
      <c r="D18" s="5">
        <v>160</v>
      </c>
      <c r="E18" s="5">
        <v>15</v>
      </c>
      <c r="F18" s="6" t="s">
        <v>9</v>
      </c>
    </row>
    <row r="19" spans="1:6">
      <c r="A19" s="7" t="s">
        <v>59</v>
      </c>
      <c r="B19" s="8" t="s">
        <v>7</v>
      </c>
      <c r="C19" s="8" t="s">
        <v>60</v>
      </c>
      <c r="D19" s="8">
        <v>980</v>
      </c>
      <c r="E19" s="8">
        <v>10</v>
      </c>
      <c r="F19" s="6" t="s">
        <v>9</v>
      </c>
    </row>
    <row r="20" spans="1:6">
      <c r="A20" s="4" t="s">
        <v>61</v>
      </c>
      <c r="B20" s="5" t="s">
        <v>62</v>
      </c>
      <c r="C20" s="5" t="s">
        <v>63</v>
      </c>
      <c r="D20" s="5">
        <v>150</v>
      </c>
      <c r="E20" s="5">
        <v>15</v>
      </c>
      <c r="F20" s="6" t="s">
        <v>13</v>
      </c>
    </row>
    <row r="21" spans="1:6">
      <c r="A21" s="7" t="s">
        <v>64</v>
      </c>
      <c r="B21" s="8" t="s">
        <v>65</v>
      </c>
      <c r="C21" s="8" t="s">
        <v>66</v>
      </c>
      <c r="D21" s="8">
        <v>130</v>
      </c>
      <c r="E21" s="8">
        <v>10</v>
      </c>
      <c r="F21" s="9" t="s">
        <v>40</v>
      </c>
    </row>
    <row r="22" spans="1:6">
      <c r="A22" s="4" t="s">
        <v>67</v>
      </c>
      <c r="B22" s="5" t="s">
        <v>68</v>
      </c>
      <c r="C22" s="5" t="s">
        <v>69</v>
      </c>
      <c r="D22" s="5">
        <v>700</v>
      </c>
      <c r="E22" s="5">
        <v>50</v>
      </c>
      <c r="F22" s="6" t="s">
        <v>9</v>
      </c>
    </row>
    <row r="23" spans="1:6">
      <c r="A23" s="7" t="s">
        <v>70</v>
      </c>
      <c r="B23" s="8" t="s">
        <v>71</v>
      </c>
      <c r="C23" s="8" t="s">
        <v>72</v>
      </c>
      <c r="D23" s="8">
        <v>80</v>
      </c>
      <c r="E23" s="8">
        <v>20</v>
      </c>
      <c r="F23" s="9" t="s">
        <v>17</v>
      </c>
    </row>
    <row r="24" spans="1:6">
      <c r="A24" s="4" t="s">
        <v>73</v>
      </c>
      <c r="B24" s="5" t="s">
        <v>74</v>
      </c>
      <c r="C24" s="5" t="s">
        <v>75</v>
      </c>
      <c r="D24" s="5">
        <v>150</v>
      </c>
      <c r="E24" s="5">
        <v>30</v>
      </c>
      <c r="F24" s="6" t="s">
        <v>9</v>
      </c>
    </row>
    <row r="25" spans="1:6">
      <c r="A25" s="4" t="s">
        <v>76</v>
      </c>
      <c r="B25" s="5" t="s">
        <v>77</v>
      </c>
      <c r="C25" s="5" t="s">
        <v>78</v>
      </c>
      <c r="D25" s="5">
        <v>800</v>
      </c>
      <c r="E25" s="5">
        <v>45</v>
      </c>
      <c r="F25" s="6" t="s">
        <v>9</v>
      </c>
    </row>
    <row r="26" spans="1:6">
      <c r="A26" s="7" t="s">
        <v>79</v>
      </c>
      <c r="B26" s="8" t="s">
        <v>62</v>
      </c>
      <c r="C26" s="8" t="s">
        <v>80</v>
      </c>
      <c r="D26" s="8">
        <v>274</v>
      </c>
      <c r="E26" s="8">
        <v>25</v>
      </c>
      <c r="F26" s="9" t="s">
        <v>13</v>
      </c>
    </row>
    <row r="27" spans="1:6">
      <c r="A27" s="4" t="s">
        <v>81</v>
      </c>
      <c r="B27" s="5" t="s">
        <v>32</v>
      </c>
      <c r="C27" s="5" t="s">
        <v>82</v>
      </c>
      <c r="D27" s="5">
        <v>400</v>
      </c>
      <c r="E27" s="5">
        <v>40</v>
      </c>
      <c r="F27" s="6" t="s">
        <v>17</v>
      </c>
    </row>
    <row r="28" spans="1:6">
      <c r="A28" s="4" t="s">
        <v>83</v>
      </c>
      <c r="B28" s="5" t="s">
        <v>84</v>
      </c>
      <c r="C28" s="5" t="s">
        <v>85</v>
      </c>
      <c r="D28" s="5">
        <v>60</v>
      </c>
      <c r="E28" s="5">
        <v>30</v>
      </c>
      <c r="F28" s="6" t="s">
        <v>13</v>
      </c>
    </row>
    <row r="29" spans="1:6">
      <c r="A29" s="7" t="s">
        <v>86</v>
      </c>
      <c r="B29" s="8" t="s">
        <v>87</v>
      </c>
      <c r="C29" s="8" t="s">
        <v>88</v>
      </c>
      <c r="D29" s="8">
        <v>40</v>
      </c>
      <c r="E29" s="8">
        <v>10</v>
      </c>
      <c r="F29" s="9" t="s">
        <v>17</v>
      </c>
    </row>
    <row r="30" spans="1:6">
      <c r="A30" s="4" t="s">
        <v>89</v>
      </c>
      <c r="B30" s="5" t="s">
        <v>74</v>
      </c>
      <c r="C30" s="5" t="s">
        <v>90</v>
      </c>
      <c r="D30" s="5">
        <v>130</v>
      </c>
      <c r="E30" s="5">
        <v>5</v>
      </c>
      <c r="F30" s="6" t="s">
        <v>9</v>
      </c>
    </row>
    <row r="31" spans="1:6">
      <c r="A31" s="7" t="s">
        <v>91</v>
      </c>
      <c r="B31" s="8" t="s">
        <v>92</v>
      </c>
      <c r="C31" s="8" t="s">
        <v>93</v>
      </c>
      <c r="D31" s="8">
        <v>50</v>
      </c>
      <c r="E31" s="8">
        <v>50</v>
      </c>
      <c r="F31" s="9" t="s">
        <v>13</v>
      </c>
    </row>
    <row r="32" spans="1:6">
      <c r="A32" s="7" t="s">
        <v>94</v>
      </c>
      <c r="B32" s="8" t="s">
        <v>95</v>
      </c>
      <c r="C32" s="8" t="s">
        <v>96</v>
      </c>
      <c r="D32" s="8">
        <v>100</v>
      </c>
      <c r="E32" s="8">
        <v>20</v>
      </c>
      <c r="F32" s="9" t="s">
        <v>56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C35"/>
  <sheetViews>
    <sheetView workbookViewId="0">
      <selection activeCell="G23" sqref="G23"/>
    </sheetView>
  </sheetViews>
  <sheetFormatPr defaultColWidth="9" defaultRowHeight="14.4" outlineLevelCol="2"/>
  <cols>
    <col min="1" max="1" width="10.7777777777778" customWidth="1"/>
    <col min="2" max="2" width="12.2222222222222" customWidth="1"/>
  </cols>
  <sheetData>
    <row r="1" spans="1:3">
      <c r="A1" s="34" t="s">
        <v>0</v>
      </c>
      <c r="B1" s="34" t="s">
        <v>0</v>
      </c>
    </row>
    <row r="2" spans="1:3">
      <c r="A2" s="40" t="s">
        <v>61</v>
      </c>
      <c r="B2" t="str">
        <f t="shared" ref="B2:B35" si="0">REPLACE(A2,8,2,2026)</f>
        <v>01-MAR-2026</v>
      </c>
      <c r="C2" s="41"/>
    </row>
    <row r="3" spans="1:3">
      <c r="A3" s="42" t="s">
        <v>91</v>
      </c>
      <c r="B3" s="43" t="str">
        <f t="shared" si="0"/>
        <v>02-DEC-2026</v>
      </c>
    </row>
    <row r="4" spans="1:3">
      <c r="A4" s="42" t="s">
        <v>79</v>
      </c>
      <c r="B4" s="43" t="str">
        <f t="shared" si="0"/>
        <v>03-JUN-2026</v>
      </c>
    </row>
    <row r="5" spans="1:3">
      <c r="A5" s="40" t="s">
        <v>14</v>
      </c>
      <c r="B5" s="43" t="str">
        <f t="shared" si="0"/>
        <v>03-MAR-2026</v>
      </c>
    </row>
    <row r="6" spans="1:3">
      <c r="A6" s="40" t="s">
        <v>34</v>
      </c>
      <c r="B6" s="43" t="str">
        <f t="shared" si="0"/>
        <v>05-SEP-2026</v>
      </c>
    </row>
    <row r="7" spans="1:3">
      <c r="A7" s="42" t="s">
        <v>24</v>
      </c>
      <c r="B7" s="43" t="str">
        <f t="shared" si="0"/>
        <v>07-JUN-2026</v>
      </c>
    </row>
    <row r="8" spans="1:3">
      <c r="A8" s="40" t="s">
        <v>83</v>
      </c>
      <c r="B8" s="43" t="str">
        <f t="shared" si="0"/>
        <v>07-MAR-2026</v>
      </c>
    </row>
    <row r="9" spans="1:3">
      <c r="A9" s="40" t="s">
        <v>45</v>
      </c>
      <c r="B9" s="43" t="str">
        <f t="shared" si="0"/>
        <v>08-DEC-2026</v>
      </c>
    </row>
    <row r="10" spans="1:3">
      <c r="A10" s="42" t="s">
        <v>70</v>
      </c>
      <c r="B10" s="43" t="str">
        <f t="shared" si="0"/>
        <v>09-JAN-2026</v>
      </c>
    </row>
    <row r="11" spans="1:3">
      <c r="A11" s="42" t="s">
        <v>94</v>
      </c>
      <c r="B11" s="43" t="str">
        <f t="shared" si="0"/>
        <v>09-JUL-2026</v>
      </c>
    </row>
    <row r="12" spans="1:3">
      <c r="A12" s="42" t="s">
        <v>18</v>
      </c>
      <c r="B12" s="43" t="str">
        <f t="shared" si="0"/>
        <v>11-APR-2026</v>
      </c>
    </row>
    <row r="13" spans="1:3">
      <c r="A13" s="40" t="s">
        <v>81</v>
      </c>
      <c r="B13" s="43" t="str">
        <f t="shared" si="0"/>
        <v>11-JUL-2026</v>
      </c>
    </row>
    <row r="14" spans="1:3">
      <c r="A14" s="42" t="s">
        <v>86</v>
      </c>
      <c r="B14" s="43" t="str">
        <f t="shared" si="0"/>
        <v>13-APR-2026</v>
      </c>
    </row>
    <row r="15" spans="1:3">
      <c r="A15" s="42" t="s">
        <v>64</v>
      </c>
      <c r="B15" s="43" t="str">
        <f t="shared" si="0"/>
        <v>14-AUG-2026</v>
      </c>
    </row>
    <row r="16" spans="1:3">
      <c r="A16" s="40" t="s">
        <v>67</v>
      </c>
      <c r="B16" s="43" t="str">
        <f t="shared" si="0"/>
        <v>14-MAY-2026</v>
      </c>
    </row>
    <row r="17" spans="1:2">
      <c r="A17" s="42" t="s">
        <v>37</v>
      </c>
      <c r="B17" s="43" t="str">
        <f t="shared" si="0"/>
        <v>14-OCT-2026</v>
      </c>
    </row>
    <row r="18" spans="1:2">
      <c r="A18" s="42" t="s">
        <v>10</v>
      </c>
      <c r="B18" s="43" t="str">
        <f t="shared" si="0"/>
        <v>15-FEB-2026</v>
      </c>
    </row>
    <row r="19" spans="1:2">
      <c r="A19" s="40" t="s">
        <v>50</v>
      </c>
      <c r="B19" s="43" t="str">
        <f t="shared" si="0"/>
        <v>16-APR-2026</v>
      </c>
    </row>
    <row r="20" spans="1:2">
      <c r="A20" s="42" t="s">
        <v>50</v>
      </c>
      <c r="B20" s="43" t="str">
        <f t="shared" si="0"/>
        <v>16-APR-2026</v>
      </c>
    </row>
    <row r="21" spans="1:2">
      <c r="A21" s="40" t="s">
        <v>41</v>
      </c>
      <c r="B21" s="43" t="str">
        <f t="shared" si="0"/>
        <v>17-JUN-2026</v>
      </c>
    </row>
    <row r="22" spans="1:2">
      <c r="A22" s="40" t="s">
        <v>41</v>
      </c>
      <c r="B22" s="43" t="str">
        <f t="shared" si="0"/>
        <v>17-JUN-2026</v>
      </c>
    </row>
    <row r="23" spans="1:2">
      <c r="A23" s="42" t="s">
        <v>47</v>
      </c>
      <c r="B23" s="43" t="str">
        <f t="shared" si="0"/>
        <v>18-FEB-2026</v>
      </c>
    </row>
    <row r="24" spans="1:2">
      <c r="A24" s="40" t="s">
        <v>73</v>
      </c>
      <c r="B24" s="43" t="str">
        <f t="shared" si="0"/>
        <v>19-JUL-2026</v>
      </c>
    </row>
    <row r="25" spans="1:2">
      <c r="A25" s="40" t="s">
        <v>28</v>
      </c>
      <c r="B25" s="43" t="str">
        <f t="shared" si="0"/>
        <v>19-JUL-2026</v>
      </c>
    </row>
    <row r="26" spans="1:2">
      <c r="A26" s="40" t="s">
        <v>57</v>
      </c>
      <c r="B26" s="43" t="str">
        <f t="shared" si="0"/>
        <v>20-AUG-2026</v>
      </c>
    </row>
    <row r="27" spans="1:2">
      <c r="A27" s="42" t="s">
        <v>53</v>
      </c>
      <c r="B27" s="43" t="str">
        <f t="shared" si="0"/>
        <v>21-AUG-2026</v>
      </c>
    </row>
    <row r="28" spans="1:2">
      <c r="A28" s="42" t="s">
        <v>53</v>
      </c>
      <c r="B28" s="43" t="str">
        <f t="shared" si="0"/>
        <v>21-AUG-2026</v>
      </c>
    </row>
    <row r="29" spans="1:2">
      <c r="A29" s="40" t="s">
        <v>21</v>
      </c>
      <c r="B29" s="43" t="str">
        <f t="shared" si="0"/>
        <v>22-MAY-2026</v>
      </c>
    </row>
    <row r="30" spans="1:2">
      <c r="A30" s="42" t="s">
        <v>31</v>
      </c>
      <c r="B30" s="43" t="str">
        <f t="shared" si="0"/>
        <v>23-AUG-2026</v>
      </c>
    </row>
    <row r="31" spans="1:2">
      <c r="A31" s="40" t="s">
        <v>89</v>
      </c>
      <c r="B31" s="43" t="str">
        <f t="shared" si="0"/>
        <v>24-MAY-2026</v>
      </c>
    </row>
    <row r="32" spans="1:2">
      <c r="A32" s="42" t="s">
        <v>44</v>
      </c>
      <c r="B32" s="43" t="str">
        <f t="shared" si="0"/>
        <v>25-NOV-2026</v>
      </c>
    </row>
    <row r="33" spans="1:3">
      <c r="A33" s="42" t="s">
        <v>59</v>
      </c>
      <c r="B33" s="43" t="str">
        <f t="shared" si="0"/>
        <v>27-JAN-2026</v>
      </c>
    </row>
    <row r="34" spans="1:3">
      <c r="A34" s="40" t="s">
        <v>6</v>
      </c>
      <c r="B34" s="43" t="str">
        <f t="shared" si="0"/>
        <v>28-JAN-2026</v>
      </c>
      <c r="C34">
        <f>F33</f>
        <v>0</v>
      </c>
    </row>
    <row r="35" spans="1:3">
      <c r="A35" s="40" t="s">
        <v>76</v>
      </c>
      <c r="B35" s="43" t="str">
        <f t="shared" si="0"/>
        <v>29-SEP-2026</v>
      </c>
    </row>
  </sheetData>
  <sortState ref="A2:C35">
    <sortCondition ref="B2:B35" customList="January,February,March,April,May,June,July,August,September,October,November,December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I35"/>
  <sheetViews>
    <sheetView workbookViewId="0">
      <selection activeCell="R4" sqref="R4"/>
    </sheetView>
  </sheetViews>
  <sheetFormatPr defaultColWidth="9" defaultRowHeight="14.4"/>
  <cols>
    <col min="1" max="1" width="12.2222222222222" customWidth="1"/>
    <col min="2" max="2" width="15.3333333333333" customWidth="1"/>
    <col min="3" max="3" width="13.6666666666667" hidden="1" customWidth="1"/>
    <col min="4" max="4" width="13.6666666666667" customWidth="1"/>
    <col min="5" max="5" width="11.7777777777778" hidden="1" customWidth="1"/>
    <col min="6" max="7" width="11" customWidth="1"/>
    <col min="8" max="8" width="12.3333333333333" customWidth="1"/>
    <col min="9" max="9" width="9" hidden="1" customWidth="1"/>
  </cols>
  <sheetData>
    <row r="1" spans="1:9">
      <c r="A1" s="36" t="s">
        <v>0</v>
      </c>
      <c r="B1" s="37" t="s">
        <v>1</v>
      </c>
      <c r="C1" s="37" t="s">
        <v>98</v>
      </c>
      <c r="D1" s="37" t="s">
        <v>2</v>
      </c>
      <c r="E1" s="37" t="s">
        <v>99</v>
      </c>
      <c r="F1" s="37" t="s">
        <v>3</v>
      </c>
      <c r="G1" s="37" t="s">
        <v>4</v>
      </c>
      <c r="H1" s="38" t="s">
        <v>5</v>
      </c>
      <c r="I1" s="3" t="s">
        <v>100</v>
      </c>
    </row>
    <row r="2" spans="1:9">
      <c r="A2" s="39" t="s">
        <v>21</v>
      </c>
      <c r="B2" s="39" t="str">
        <f t="shared" ref="B2:B35" si="0">UPPER(C2)</f>
        <v>BACKPACK</v>
      </c>
      <c r="C2" s="39" t="s">
        <v>22</v>
      </c>
      <c r="D2" s="39" t="str">
        <f t="shared" ref="D2:D35" si="1">UPPER(E2)</f>
        <v>NORTH FACE</v>
      </c>
      <c r="E2" s="39" t="s">
        <v>23</v>
      </c>
      <c r="F2" s="39">
        <v>70</v>
      </c>
      <c r="G2" s="39">
        <v>20</v>
      </c>
      <c r="H2" s="39" t="str">
        <f>UPPER(Table1[[#This Row],[Category2]])</f>
        <v/>
      </c>
      <c r="I2" s="39"/>
    </row>
    <row r="3" spans="1:9">
      <c r="A3" s="39" t="s">
        <v>31</v>
      </c>
      <c r="B3" s="39" t="str">
        <f t="shared" si="0"/>
        <v>BLENDER</v>
      </c>
      <c r="C3" s="39" t="s">
        <v>32</v>
      </c>
      <c r="D3" s="39" t="str">
        <f t="shared" si="1"/>
        <v>NINJA</v>
      </c>
      <c r="E3" s="39" t="s">
        <v>33</v>
      </c>
      <c r="F3" s="39">
        <v>90</v>
      </c>
      <c r="G3" s="39">
        <v>35</v>
      </c>
      <c r="H3" s="39" t="str">
        <f>UPPER(Table1[[#This Row],[Category2]])</f>
        <v>KITCHEN</v>
      </c>
      <c r="I3" s="39" t="s">
        <v>17</v>
      </c>
    </row>
    <row r="4" spans="1:9">
      <c r="A4" s="39" t="s">
        <v>81</v>
      </c>
      <c r="B4" s="39" t="str">
        <f t="shared" si="0"/>
        <v>BLENDER</v>
      </c>
      <c r="C4" s="39" t="s">
        <v>32</v>
      </c>
      <c r="D4" s="39" t="str">
        <f t="shared" si="1"/>
        <v>VITAMIX</v>
      </c>
      <c r="E4" s="39" t="s">
        <v>82</v>
      </c>
      <c r="F4" s="39">
        <v>400</v>
      </c>
      <c r="G4" s="39">
        <v>40</v>
      </c>
      <c r="H4" s="39" t="str">
        <f>UPPER(Table1[[#This Row],[Category2]])</f>
        <v>KITCHEN</v>
      </c>
      <c r="I4" s="39" t="s">
        <v>17</v>
      </c>
    </row>
    <row r="5" spans="1:9">
      <c r="A5" s="39" t="s">
        <v>67</v>
      </c>
      <c r="B5" s="39" t="str">
        <f t="shared" si="0"/>
        <v>CAMERA</v>
      </c>
      <c r="C5" s="39" t="s">
        <v>68</v>
      </c>
      <c r="D5" s="39" t="str">
        <f t="shared" si="1"/>
        <v>NIKON</v>
      </c>
      <c r="E5" s="39" t="s">
        <v>69</v>
      </c>
      <c r="F5" s="39">
        <v>700</v>
      </c>
      <c r="G5" s="39">
        <v>50</v>
      </c>
      <c r="H5" s="39" t="str">
        <f>UPPER(Table1[[#This Row],[Category2]])</f>
        <v>ELECTRONICS</v>
      </c>
      <c r="I5" s="39" t="s">
        <v>9</v>
      </c>
    </row>
    <row r="6" spans="1:9">
      <c r="A6" s="39" t="s">
        <v>64</v>
      </c>
      <c r="B6" s="39" t="str">
        <f t="shared" si="0"/>
        <v>CAMPING TENT</v>
      </c>
      <c r="C6" s="39" t="s">
        <v>65</v>
      </c>
      <c r="D6" s="39" t="str">
        <f t="shared" si="1"/>
        <v>COLEMAN</v>
      </c>
      <c r="E6" s="39" t="s">
        <v>66</v>
      </c>
      <c r="F6" s="39"/>
      <c r="G6" s="39">
        <v>10</v>
      </c>
      <c r="H6" s="39" t="str">
        <f>UPPER(Table1[[#This Row],[Category2]])</f>
        <v>OUTDOOR</v>
      </c>
      <c r="I6" s="39" t="s">
        <v>40</v>
      </c>
    </row>
    <row r="7" spans="1:9">
      <c r="A7" s="39" t="s">
        <v>14</v>
      </c>
      <c r="B7" s="39" t="str">
        <f t="shared" si="0"/>
        <v>COFFEE MAKER</v>
      </c>
      <c r="C7" s="39" t="s">
        <v>15</v>
      </c>
      <c r="D7" s="39" t="str">
        <f t="shared" si="1"/>
        <v>KEURIG</v>
      </c>
      <c r="E7" s="39" t="s">
        <v>16</v>
      </c>
      <c r="F7" s="39">
        <v>130</v>
      </c>
      <c r="G7" s="39">
        <v>40</v>
      </c>
      <c r="H7" s="39" t="str">
        <f>UPPER(Table1[[#This Row],[Category2]])</f>
        <v>KITCHEN</v>
      </c>
      <c r="I7" s="39" t="s">
        <v>17</v>
      </c>
    </row>
    <row r="8" spans="1:9">
      <c r="A8" s="39" t="s">
        <v>45</v>
      </c>
      <c r="B8" s="39" t="str">
        <f t="shared" si="0"/>
        <v>COFFEE MAKER</v>
      </c>
      <c r="C8" s="39" t="s">
        <v>15</v>
      </c>
      <c r="D8" s="39" t="str">
        <f t="shared" si="1"/>
        <v>NESPRESSO</v>
      </c>
      <c r="E8" s="39" t="s">
        <v>46</v>
      </c>
      <c r="F8" s="39">
        <v>120</v>
      </c>
      <c r="G8" s="39">
        <v>35</v>
      </c>
      <c r="H8" s="39" t="str">
        <f>UPPER(Table1[[#This Row],[Category2]])</f>
        <v/>
      </c>
      <c r="I8" s="39"/>
    </row>
    <row r="9" spans="1:9">
      <c r="A9" s="39" t="s">
        <v>83</v>
      </c>
      <c r="B9" s="39" t="str">
        <f t="shared" si="0"/>
        <v>DRESS</v>
      </c>
      <c r="C9" s="39" t="s">
        <v>84</v>
      </c>
      <c r="D9" s="39" t="str">
        <f t="shared" si="1"/>
        <v>ZARA</v>
      </c>
      <c r="E9" s="39" t="s">
        <v>85</v>
      </c>
      <c r="F9" s="39">
        <v>60</v>
      </c>
      <c r="G9" s="39">
        <v>30</v>
      </c>
      <c r="H9" s="39" t="str">
        <f>UPPER(Table1[[#This Row],[Category2]])</f>
        <v>FASHION</v>
      </c>
      <c r="I9" s="39" t="s">
        <v>13</v>
      </c>
    </row>
    <row r="10" spans="1:9">
      <c r="A10" s="39" t="s">
        <v>89</v>
      </c>
      <c r="B10" s="39" t="str">
        <f t="shared" si="0"/>
        <v>FITNESS TRACKER</v>
      </c>
      <c r="C10" s="39" t="s">
        <v>74</v>
      </c>
      <c r="D10" s="39" t="str">
        <f t="shared" si="1"/>
        <v>GARMIN</v>
      </c>
      <c r="E10" s="39" t="s">
        <v>90</v>
      </c>
      <c r="F10" s="39">
        <v>130</v>
      </c>
      <c r="G10" s="39">
        <v>5</v>
      </c>
      <c r="H10" s="39" t="str">
        <f>UPPER(Table1[[#This Row],[Category2]])</f>
        <v>ELECTRONICS</v>
      </c>
      <c r="I10" s="39" t="s">
        <v>9</v>
      </c>
    </row>
    <row r="11" spans="1:9">
      <c r="A11" s="39" t="s">
        <v>73</v>
      </c>
      <c r="B11" s="39" t="str">
        <f t="shared" si="0"/>
        <v>FITNESS TRACKER</v>
      </c>
      <c r="C11" s="39" t="s">
        <v>74</v>
      </c>
      <c r="D11" s="39" t="str">
        <f t="shared" si="1"/>
        <v>XIAOMI</v>
      </c>
      <c r="E11" s="39" t="s">
        <v>75</v>
      </c>
      <c r="F11" s="39">
        <v>150</v>
      </c>
      <c r="G11" s="39">
        <v>30</v>
      </c>
      <c r="H11" s="39" t="str">
        <f>UPPER(Table1[[#This Row],[Category2]])</f>
        <v/>
      </c>
      <c r="I11" s="39"/>
    </row>
    <row r="12" spans="1:9">
      <c r="A12" s="39" t="s">
        <v>50</v>
      </c>
      <c r="B12" s="39" t="str">
        <f t="shared" si="0"/>
        <v>HEADPHONES</v>
      </c>
      <c r="C12" s="39" t="s">
        <v>51</v>
      </c>
      <c r="D12" s="39" t="str">
        <f t="shared" si="1"/>
        <v>BOSE</v>
      </c>
      <c r="E12" s="39" t="s">
        <v>52</v>
      </c>
      <c r="F12" s="39">
        <v>250</v>
      </c>
      <c r="G12" s="39">
        <v>20</v>
      </c>
      <c r="H12" s="39" t="str">
        <f>UPPER(Table1[[#This Row],[Category2]])</f>
        <v>ELECTRONI</v>
      </c>
      <c r="I12" s="39" t="s">
        <v>27</v>
      </c>
    </row>
    <row r="13" spans="1:9">
      <c r="A13" s="39" t="s">
        <v>50</v>
      </c>
      <c r="B13" s="39" t="str">
        <f t="shared" si="0"/>
        <v>HEADPHONES</v>
      </c>
      <c r="C13" s="39" t="s">
        <v>51</v>
      </c>
      <c r="D13" s="39" t="str">
        <f t="shared" si="1"/>
        <v>BOSE</v>
      </c>
      <c r="E13" s="39" t="s">
        <v>52</v>
      </c>
      <c r="F13" s="39">
        <v>250</v>
      </c>
      <c r="G13" s="39">
        <v>20</v>
      </c>
      <c r="H13" s="39" t="str">
        <f>UPPER(Table1[[#This Row],[Category2]])</f>
        <v>ELECTRONI</v>
      </c>
      <c r="I13" s="39" t="s">
        <v>27</v>
      </c>
    </row>
    <row r="14" spans="1:9">
      <c r="A14" s="39" t="s">
        <v>24</v>
      </c>
      <c r="B14" s="39" t="str">
        <f t="shared" si="0"/>
        <v>HEADPHONES</v>
      </c>
      <c r="C14" s="39" t="s">
        <v>25</v>
      </c>
      <c r="D14" s="39" t="str">
        <f t="shared" si="1"/>
        <v>SONY</v>
      </c>
      <c r="E14" s="39" t="s">
        <v>26</v>
      </c>
      <c r="F14" s="39"/>
      <c r="G14" s="39">
        <v>45</v>
      </c>
      <c r="H14" s="39" t="str">
        <f>UPPER(Table1[[#This Row],[Category2]])</f>
        <v>ELECTRONI</v>
      </c>
      <c r="I14" s="39" t="s">
        <v>27</v>
      </c>
    </row>
    <row r="15" spans="1:9">
      <c r="A15" s="39" t="s">
        <v>37</v>
      </c>
      <c r="B15" s="39" t="str">
        <f t="shared" si="0"/>
        <v>HIKING BOOTS</v>
      </c>
      <c r="C15" s="39" t="s">
        <v>38</v>
      </c>
      <c r="D15" s="39" t="str">
        <f t="shared" si="1"/>
        <v>TIMBERLAND</v>
      </c>
      <c r="E15" s="39" t="s">
        <v>39</v>
      </c>
      <c r="F15" s="39">
        <v>130</v>
      </c>
      <c r="G15" s="39">
        <v>10</v>
      </c>
      <c r="H15" s="39" t="str">
        <f>UPPER(Table1[[#This Row],[Category2]])</f>
        <v>OUTDOOR</v>
      </c>
      <c r="I15" s="39" t="s">
        <v>40</v>
      </c>
    </row>
    <row r="16" spans="1:9">
      <c r="A16" s="39" t="s">
        <v>91</v>
      </c>
      <c r="B16" s="39" t="str">
        <f t="shared" si="0"/>
        <v>JEANS</v>
      </c>
      <c r="C16" s="39" t="s">
        <v>92</v>
      </c>
      <c r="D16" s="39" t="str">
        <f t="shared" si="1"/>
        <v>LEVI'S</v>
      </c>
      <c r="E16" s="39" t="s">
        <v>93</v>
      </c>
      <c r="F16" s="39">
        <v>50</v>
      </c>
      <c r="G16" s="39">
        <v>50</v>
      </c>
      <c r="H16" s="39" t="str">
        <f>UPPER(Table1[[#This Row],[Category2]])</f>
        <v>FASHION</v>
      </c>
      <c r="I16" s="39" t="s">
        <v>13</v>
      </c>
    </row>
    <row r="17" spans="1:9">
      <c r="A17" s="39" t="s">
        <v>59</v>
      </c>
      <c r="B17" s="39" t="str">
        <f t="shared" si="0"/>
        <v>LAPTOP</v>
      </c>
      <c r="C17" s="39" t="s">
        <v>7</v>
      </c>
      <c r="D17" s="39" t="str">
        <f t="shared" si="1"/>
        <v>ASUS</v>
      </c>
      <c r="E17" s="39" t="s">
        <v>60</v>
      </c>
      <c r="F17" s="39">
        <v>980</v>
      </c>
      <c r="G17" s="39">
        <v>10</v>
      </c>
      <c r="H17" s="39" t="str">
        <f>UPPER(Table1[[#This Row],[Category2]])</f>
        <v>ELECTRONICS</v>
      </c>
      <c r="I17" s="39" t="s">
        <v>9</v>
      </c>
    </row>
    <row r="18" spans="1:9">
      <c r="A18" s="39" t="s">
        <v>6</v>
      </c>
      <c r="B18" s="39" t="str">
        <f t="shared" si="0"/>
        <v>LAPTOP</v>
      </c>
      <c r="C18" s="39" t="s">
        <v>7</v>
      </c>
      <c r="D18" s="39" t="str">
        <f t="shared" si="1"/>
        <v>DELL</v>
      </c>
      <c r="E18" s="39" t="s">
        <v>8</v>
      </c>
      <c r="F18" s="39">
        <v>1000</v>
      </c>
      <c r="G18" s="39">
        <v>30</v>
      </c>
      <c r="H18" s="39" t="str">
        <f>UPPER(Table1[[#This Row],[Category2]])</f>
        <v>ELECTRONICS</v>
      </c>
      <c r="I18" s="39" t="s">
        <v>9</v>
      </c>
    </row>
    <row r="19" spans="1:9">
      <c r="A19" s="39" t="s">
        <v>41</v>
      </c>
      <c r="B19" s="39" t="str">
        <f t="shared" si="0"/>
        <v>LAPTOP</v>
      </c>
      <c r="C19" s="39" t="s">
        <v>42</v>
      </c>
      <c r="D19" s="39" t="str">
        <f t="shared" si="1"/>
        <v>HP</v>
      </c>
      <c r="E19" s="39" t="s">
        <v>43</v>
      </c>
      <c r="F19" s="39">
        <v>950</v>
      </c>
      <c r="G19" s="39">
        <v>25</v>
      </c>
      <c r="H19" s="39" t="str">
        <f>UPPER(Table1[[#This Row],[Category2]])</f>
        <v>ELECTRONICS</v>
      </c>
      <c r="I19" s="39" t="s">
        <v>9</v>
      </c>
    </row>
    <row r="20" spans="1:9">
      <c r="A20" s="39" t="s">
        <v>41</v>
      </c>
      <c r="B20" s="39" t="str">
        <f t="shared" si="0"/>
        <v>LAPTOP</v>
      </c>
      <c r="C20" s="39" t="s">
        <v>42</v>
      </c>
      <c r="D20" s="39" t="str">
        <f t="shared" si="1"/>
        <v>HP</v>
      </c>
      <c r="E20" s="39" t="s">
        <v>43</v>
      </c>
      <c r="F20" s="39">
        <v>950</v>
      </c>
      <c r="G20" s="39">
        <v>25</v>
      </c>
      <c r="H20" s="39" t="str">
        <f>UPPER(Table1[[#This Row],[Category2]])</f>
        <v>ELECTRONICS</v>
      </c>
      <c r="I20" s="39" t="s">
        <v>9</v>
      </c>
    </row>
    <row r="21" spans="1:9">
      <c r="A21" s="39" t="s">
        <v>53</v>
      </c>
      <c r="B21" s="39" t="str">
        <f t="shared" si="0"/>
        <v>LAPTOP BAG</v>
      </c>
      <c r="C21" s="39" t="s">
        <v>54</v>
      </c>
      <c r="D21" s="39" t="str">
        <f t="shared" si="1"/>
        <v>SAMSONITE</v>
      </c>
      <c r="E21" s="39" t="s">
        <v>55</v>
      </c>
      <c r="F21" s="39">
        <v>50</v>
      </c>
      <c r="G21" s="39">
        <v>35</v>
      </c>
      <c r="H21" s="39" t="str">
        <f>UPPER(Table1[[#This Row],[Category2]])</f>
        <v>ACCESSORIES</v>
      </c>
      <c r="I21" s="39" t="s">
        <v>56</v>
      </c>
    </row>
    <row r="22" spans="1:9">
      <c r="A22" s="39" t="s">
        <v>53</v>
      </c>
      <c r="B22" s="39" t="str">
        <f t="shared" si="0"/>
        <v>LAPTOP BAG</v>
      </c>
      <c r="C22" s="39" t="s">
        <v>54</v>
      </c>
      <c r="D22" s="39" t="str">
        <f t="shared" si="1"/>
        <v>SAMSONITE</v>
      </c>
      <c r="E22" s="39" t="s">
        <v>55</v>
      </c>
      <c r="F22" s="39">
        <v>50</v>
      </c>
      <c r="G22" s="39">
        <v>35</v>
      </c>
      <c r="H22" s="39" t="str">
        <f>UPPER(Table1[[#This Row],[Category2]])</f>
        <v>ACCESSORIES</v>
      </c>
      <c r="I22" s="39" t="s">
        <v>56</v>
      </c>
    </row>
    <row r="23" spans="1:9">
      <c r="A23" s="39" t="s">
        <v>70</v>
      </c>
      <c r="B23" s="39" t="str">
        <f t="shared" si="0"/>
        <v>MICROWAVE</v>
      </c>
      <c r="C23" s="39" t="s">
        <v>71</v>
      </c>
      <c r="D23" s="39" t="str">
        <f t="shared" si="1"/>
        <v>PANASONIC</v>
      </c>
      <c r="E23" s="39" t="s">
        <v>72</v>
      </c>
      <c r="F23" s="39">
        <v>80</v>
      </c>
      <c r="G23" s="39">
        <v>20</v>
      </c>
      <c r="H23" s="39" t="str">
        <f>UPPER(Table1[[#This Row],[Category2]])</f>
        <v>KITCHEN</v>
      </c>
      <c r="I23" s="39" t="s">
        <v>17</v>
      </c>
    </row>
    <row r="24" spans="1:9">
      <c r="A24" s="39" t="s">
        <v>76</v>
      </c>
      <c r="B24" s="39" t="str">
        <f t="shared" si="0"/>
        <v>SMARTPHONE</v>
      </c>
      <c r="C24" s="39" t="s">
        <v>77</v>
      </c>
      <c r="D24" s="39" t="str">
        <f t="shared" si="1"/>
        <v>GOOGLE</v>
      </c>
      <c r="E24" s="39" t="s">
        <v>78</v>
      </c>
      <c r="F24" s="39">
        <v>800</v>
      </c>
      <c r="G24" s="39">
        <v>45</v>
      </c>
      <c r="H24" s="39" t="str">
        <f>UPPER(Table1[[#This Row],[Category2]])</f>
        <v>ELECTRONICS</v>
      </c>
      <c r="I24" s="39" t="s">
        <v>9</v>
      </c>
    </row>
    <row r="25" spans="1:9">
      <c r="A25" s="39" t="s">
        <v>18</v>
      </c>
      <c r="B25" s="39" t="str">
        <f t="shared" si="0"/>
        <v>SMARTPHONE</v>
      </c>
      <c r="C25" s="39" t="s">
        <v>19</v>
      </c>
      <c r="D25" s="39" t="str">
        <f t="shared" si="1"/>
        <v>SAMSUNG</v>
      </c>
      <c r="E25" s="39" t="s">
        <v>20</v>
      </c>
      <c r="F25" s="39">
        <v>900</v>
      </c>
      <c r="G25" s="39">
        <v>25</v>
      </c>
      <c r="H25" s="39" t="str">
        <f>UPPER(Table1[[#This Row],[Category2]])</f>
        <v>ELECTRONICS</v>
      </c>
      <c r="I25" s="39" t="s">
        <v>9</v>
      </c>
    </row>
    <row r="26" spans="1:9">
      <c r="A26" s="39" t="s">
        <v>47</v>
      </c>
      <c r="B26" s="39" t="str">
        <f t="shared" si="0"/>
        <v>SMARTWATCH</v>
      </c>
      <c r="C26" s="39" t="s">
        <v>48</v>
      </c>
      <c r="D26" s="39" t="str">
        <f t="shared" si="1"/>
        <v>FITBIT</v>
      </c>
      <c r="E26" s="39" t="s">
        <v>49</v>
      </c>
      <c r="F26" s="39">
        <v>150</v>
      </c>
      <c r="G26" s="39">
        <v>15</v>
      </c>
      <c r="H26" s="39" t="str">
        <f>UPPER(Table1[[#This Row],[Category2]])</f>
        <v>ELECTRONI</v>
      </c>
      <c r="I26" s="39" t="s">
        <v>27</v>
      </c>
    </row>
    <row r="27" spans="1:9">
      <c r="A27" s="39" t="s">
        <v>57</v>
      </c>
      <c r="B27" s="39" t="str">
        <f t="shared" si="0"/>
        <v>SMARTWATCH</v>
      </c>
      <c r="C27" s="39" t="s">
        <v>48</v>
      </c>
      <c r="D27" s="39" t="str">
        <f t="shared" si="1"/>
        <v>HUAWEI</v>
      </c>
      <c r="E27" s="39" t="s">
        <v>58</v>
      </c>
      <c r="F27" s="39">
        <v>160</v>
      </c>
      <c r="G27" s="39">
        <v>15</v>
      </c>
      <c r="H27" s="39" t="str">
        <f>UPPER(Table1[[#This Row],[Category2]])</f>
        <v>ELECTRONI</v>
      </c>
      <c r="I27" s="39" t="s">
        <v>27</v>
      </c>
    </row>
    <row r="28" spans="1:9">
      <c r="A28" s="39" t="s">
        <v>44</v>
      </c>
      <c r="B28" s="39" t="str">
        <f t="shared" si="0"/>
        <v>SNEAKERS</v>
      </c>
      <c r="C28" s="39" t="s">
        <v>11</v>
      </c>
      <c r="D28" s="39" t="str">
        <f t="shared" si="1"/>
        <v>ADIDAS</v>
      </c>
      <c r="E28" s="39" t="s">
        <v>30</v>
      </c>
      <c r="F28" s="39">
        <v>90</v>
      </c>
      <c r="G28" s="39">
        <v>40</v>
      </c>
      <c r="H28" s="39" t="str">
        <f>UPPER(Table1[[#This Row],[Category2]])</f>
        <v/>
      </c>
      <c r="I28" s="39"/>
    </row>
    <row r="29" spans="1:9">
      <c r="A29" s="39" t="s">
        <v>10</v>
      </c>
      <c r="B29" s="39" t="str">
        <f t="shared" si="0"/>
        <v>SNEAKERS</v>
      </c>
      <c r="C29" s="39" t="s">
        <v>11</v>
      </c>
      <c r="D29" s="39" t="str">
        <f t="shared" si="1"/>
        <v>NIKE</v>
      </c>
      <c r="E29" s="39" t="s">
        <v>12</v>
      </c>
      <c r="F29" s="39">
        <v>80</v>
      </c>
      <c r="G29" s="39">
        <v>15</v>
      </c>
      <c r="H29" s="39" t="str">
        <f>UPPER(Table1[[#This Row],[Category2]])</f>
        <v>FASHION</v>
      </c>
      <c r="I29" s="39" t="s">
        <v>13</v>
      </c>
    </row>
    <row r="30" spans="1:9">
      <c r="A30" s="39" t="s">
        <v>61</v>
      </c>
      <c r="B30" s="39" t="str">
        <f t="shared" si="0"/>
        <v>SUNGLASSES</v>
      </c>
      <c r="C30" s="39" t="s">
        <v>62</v>
      </c>
      <c r="D30" s="39" t="str">
        <f t="shared" si="1"/>
        <v>OAKLEY</v>
      </c>
      <c r="E30" s="39" t="s">
        <v>63</v>
      </c>
      <c r="F30" s="39">
        <v>150</v>
      </c>
      <c r="G30" s="39">
        <v>15</v>
      </c>
      <c r="H30" s="39" t="str">
        <f>UPPER(Table1[[#This Row],[Category2]])</f>
        <v>FASHION</v>
      </c>
      <c r="I30" s="39" t="s">
        <v>13</v>
      </c>
    </row>
    <row r="31" spans="1:9">
      <c r="A31" s="39" t="s">
        <v>79</v>
      </c>
      <c r="B31" s="39" t="str">
        <f t="shared" si="0"/>
        <v>SUNGLASSES</v>
      </c>
      <c r="C31" s="39" t="s">
        <v>62</v>
      </c>
      <c r="D31" s="39" t="str">
        <f t="shared" si="1"/>
        <v>RAY-BAN</v>
      </c>
      <c r="E31" s="39" t="s">
        <v>80</v>
      </c>
      <c r="F31" s="39"/>
      <c r="G31" s="39">
        <v>25</v>
      </c>
      <c r="H31" s="39" t="str">
        <f>UPPER(Table1[[#This Row],[Category2]])</f>
        <v>FASHION</v>
      </c>
      <c r="I31" s="39" t="s">
        <v>13</v>
      </c>
    </row>
    <row r="32" spans="1:9">
      <c r="A32" s="39" t="s">
        <v>34</v>
      </c>
      <c r="B32" s="39" t="str">
        <f t="shared" si="0"/>
        <v>TABLET</v>
      </c>
      <c r="C32" s="39" t="s">
        <v>35</v>
      </c>
      <c r="D32" s="39" t="str">
        <f t="shared" si="1"/>
        <v>APPLE</v>
      </c>
      <c r="E32" s="39" t="s">
        <v>36</v>
      </c>
      <c r="F32" s="39">
        <v>500</v>
      </c>
      <c r="G32" s="39">
        <v>50</v>
      </c>
      <c r="H32" s="39" t="str">
        <f>UPPER(Table1[[#This Row],[Category2]])</f>
        <v>ELECTRONICS</v>
      </c>
      <c r="I32" s="39" t="s">
        <v>9</v>
      </c>
    </row>
    <row r="33" spans="1:9">
      <c r="A33" s="39" t="s">
        <v>86</v>
      </c>
      <c r="B33" s="39" t="str">
        <f t="shared" si="0"/>
        <v>TOASTER</v>
      </c>
      <c r="C33" s="39" t="s">
        <v>87</v>
      </c>
      <c r="D33" s="39" t="str">
        <f t="shared" si="1"/>
        <v>HAMILTON</v>
      </c>
      <c r="E33" s="39" t="s">
        <v>88</v>
      </c>
      <c r="F33" s="39">
        <v>40</v>
      </c>
      <c r="G33" s="39">
        <v>10</v>
      </c>
      <c r="H33" s="39" t="str">
        <f>UPPER(Table1[[#This Row],[Category2]])</f>
        <v>KITCHEN</v>
      </c>
      <c r="I33" s="39" t="s">
        <v>17</v>
      </c>
    </row>
    <row r="34" spans="1:9">
      <c r="A34" s="39" t="s">
        <v>28</v>
      </c>
      <c r="B34" s="39" t="str">
        <f t="shared" si="0"/>
        <v>T-SHIRT</v>
      </c>
      <c r="C34" s="39" t="s">
        <v>29</v>
      </c>
      <c r="D34" s="39" t="str">
        <f t="shared" si="1"/>
        <v>ADIDAS</v>
      </c>
      <c r="E34" s="39" t="s">
        <v>30</v>
      </c>
      <c r="F34" s="39">
        <v>30</v>
      </c>
      <c r="G34" s="39">
        <v>5</v>
      </c>
      <c r="H34" s="39" t="str">
        <f>UPPER(Table1[[#This Row],[Category2]])</f>
        <v>FASHION</v>
      </c>
      <c r="I34" s="39" t="s">
        <v>13</v>
      </c>
    </row>
    <row r="35" spans="1:9">
      <c r="A35" s="39" t="s">
        <v>94</v>
      </c>
      <c r="B35" s="39" t="str">
        <f t="shared" si="0"/>
        <v>WATCH</v>
      </c>
      <c r="C35" s="39" t="s">
        <v>95</v>
      </c>
      <c r="D35" s="39" t="str">
        <f t="shared" si="1"/>
        <v>CASIO</v>
      </c>
      <c r="E35" s="39" t="s">
        <v>96</v>
      </c>
      <c r="F35" s="39">
        <v>100</v>
      </c>
      <c r="G35" s="39">
        <v>20</v>
      </c>
      <c r="H35" s="39" t="str">
        <f>UPPER(Table1[[#This Row],[Category2]])</f>
        <v>ACCESSORIES</v>
      </c>
      <c r="I35" s="39" t="s">
        <v>56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N32"/>
  <sheetViews>
    <sheetView workbookViewId="0">
      <selection activeCell="R22" sqref="R22"/>
    </sheetView>
  </sheetViews>
  <sheetFormatPr defaultColWidth="9" defaultRowHeight="14.4"/>
  <cols>
    <col min="1" max="1" width="10.7777777777778" customWidth="1"/>
    <col min="2" max="2" width="13.6666666666667" hidden="1" customWidth="1"/>
    <col min="3" max="3" width="14.5555555555556" hidden="1" customWidth="1"/>
    <col min="4" max="4" width="11.7777777777778" hidden="1" customWidth="1"/>
    <col min="5" max="5" width="12.7777777777778" hidden="1" customWidth="1"/>
    <col min="6" max="6" width="11" hidden="1" customWidth="1"/>
    <col min="7" max="7" width="9" hidden="1" customWidth="1"/>
    <col min="8" max="9" width="11" hidden="1" customWidth="1"/>
    <col min="10" max="11" width="15.5555555555556" customWidth="1"/>
    <col min="12" max="12" width="10.2222222222222" customWidth="1"/>
    <col min="13" max="13" width="10.3333333333333" customWidth="1"/>
    <col min="14" max="14" width="11" customWidth="1"/>
    <col min="22" max="22" width="10.4444444444444" customWidth="1"/>
  </cols>
  <sheetData>
    <row r="1" spans="1:14">
      <c r="A1" s="31" t="s">
        <v>0</v>
      </c>
      <c r="B1" s="32" t="s">
        <v>1</v>
      </c>
      <c r="C1" s="32" t="s">
        <v>98</v>
      </c>
      <c r="D1" s="32" t="s">
        <v>2</v>
      </c>
      <c r="E1" s="32" t="s">
        <v>101</v>
      </c>
      <c r="F1" s="32" t="s">
        <v>3</v>
      </c>
      <c r="G1" s="33" t="s">
        <v>4</v>
      </c>
      <c r="H1" s="34" t="s">
        <v>5</v>
      </c>
      <c r="I1" s="34" t="s">
        <v>100</v>
      </c>
      <c r="J1" s="32" t="s">
        <v>102</v>
      </c>
      <c r="K1" s="32" t="s">
        <v>99</v>
      </c>
      <c r="L1" s="32" t="s">
        <v>3</v>
      </c>
      <c r="M1" s="32" t="s">
        <v>4</v>
      </c>
      <c r="N1" s="32" t="s">
        <v>5</v>
      </c>
    </row>
    <row r="2" spans="1:14">
      <c r="A2" s="35">
        <v>46050</v>
      </c>
      <c r="B2" s="5" t="s">
        <v>7</v>
      </c>
      <c r="C2" s="5" t="str">
        <f>PROPER(Table2678[[#This Row],[Product Name]])</f>
        <v>Laptop</v>
      </c>
      <c r="D2" s="5" t="s">
        <v>8</v>
      </c>
      <c r="E2" s="5" t="str">
        <f t="shared" ref="E2:E32" si="0">PROPER(D2)</f>
        <v>Dell</v>
      </c>
      <c r="F2" s="5">
        <v>1000</v>
      </c>
      <c r="G2" s="5">
        <v>30</v>
      </c>
      <c r="H2" s="5" t="str">
        <f t="shared" ref="H2:H32" si="1">PROPER(I2)</f>
        <v>Electronics</v>
      </c>
      <c r="I2" s="5" t="s">
        <v>9</v>
      </c>
      <c r="J2" s="5" t="str">
        <f>TRIM(Table2678[[#This Row],[Product Name2]])</f>
        <v>Laptop</v>
      </c>
      <c r="K2" s="5" t="str">
        <f>TRIM(Table2678[[#This Row],[Brand Name2]])</f>
        <v>Dell</v>
      </c>
      <c r="L2" s="4">
        <v>1000</v>
      </c>
      <c r="M2" s="5">
        <v>30</v>
      </c>
      <c r="N2" s="6" t="str">
        <f>TRIM(Table2678[[#This Row],[Category]])</f>
        <v>Electronics</v>
      </c>
    </row>
    <row r="3" spans="1:14">
      <c r="A3" s="35">
        <v>46068</v>
      </c>
      <c r="B3" s="5" t="s">
        <v>11</v>
      </c>
      <c r="C3" s="5" t="str">
        <f>PROPER(Table2678[[#This Row],[Product Name]])</f>
        <v>Sneakers</v>
      </c>
      <c r="D3" s="5" t="s">
        <v>12</v>
      </c>
      <c r="E3" s="5" t="str">
        <f t="shared" si="0"/>
        <v>Nike</v>
      </c>
      <c r="F3" s="5">
        <v>80</v>
      </c>
      <c r="G3" s="5">
        <v>15</v>
      </c>
      <c r="H3" s="5" t="str">
        <f t="shared" si="1"/>
        <v>Fashion</v>
      </c>
      <c r="I3" s="5" t="s">
        <v>13</v>
      </c>
      <c r="J3" s="5" t="str">
        <f>TRIM(Table2678[[#This Row],[Product Name2]])</f>
        <v>Sneakers</v>
      </c>
      <c r="K3" s="5" t="str">
        <f>TRIM(Table2678[[#This Row],[Brand Name2]])</f>
        <v>Nike</v>
      </c>
      <c r="L3" s="4">
        <v>80</v>
      </c>
      <c r="M3" s="5">
        <v>15</v>
      </c>
      <c r="N3" s="6" t="str">
        <f>TRIM(Table2678[[#This Row],[Category]])</f>
        <v>Fashion</v>
      </c>
    </row>
    <row r="4" spans="1:14">
      <c r="A4" s="5" t="s">
        <v>14</v>
      </c>
      <c r="B4" s="5" t="s">
        <v>15</v>
      </c>
      <c r="C4" s="5" t="str">
        <f>PROPER(Table2678[[#This Row],[Product Name]])</f>
        <v>Coffee Maker</v>
      </c>
      <c r="D4" s="5" t="s">
        <v>16</v>
      </c>
      <c r="E4" s="5" t="str">
        <f t="shared" si="0"/>
        <v>Keurig</v>
      </c>
      <c r="F4" s="5">
        <v>130</v>
      </c>
      <c r="G4" s="5">
        <v>40</v>
      </c>
      <c r="H4" s="5" t="str">
        <f t="shared" si="1"/>
        <v>Kitchen</v>
      </c>
      <c r="I4" s="5" t="s">
        <v>17</v>
      </c>
      <c r="J4" s="5" t="str">
        <f>TRIM(Table2678[[#This Row],[Product Name2]])</f>
        <v>Coffee Maker</v>
      </c>
      <c r="K4" s="5" t="str">
        <f>TRIM(Table2678[[#This Row],[Brand Name2]])</f>
        <v>Keurig</v>
      </c>
      <c r="L4" s="4">
        <v>130</v>
      </c>
      <c r="M4" s="5">
        <v>40</v>
      </c>
      <c r="N4" s="6" t="str">
        <f>TRIM(Table2678[[#This Row],[Category]])</f>
        <v>Kitchen</v>
      </c>
    </row>
    <row r="5" spans="1:14">
      <c r="A5" s="5" t="s">
        <v>18</v>
      </c>
      <c r="B5" s="5" t="s">
        <v>19</v>
      </c>
      <c r="C5" s="5" t="str">
        <f>PROPER(Table2678[[#This Row],[Product Name]])</f>
        <v>Smartphone</v>
      </c>
      <c r="D5" s="5" t="s">
        <v>20</v>
      </c>
      <c r="E5" s="5" t="str">
        <f t="shared" si="0"/>
        <v>Samsung</v>
      </c>
      <c r="F5" s="5">
        <v>900</v>
      </c>
      <c r="G5" s="5">
        <v>25</v>
      </c>
      <c r="H5" s="5" t="str">
        <f t="shared" si="1"/>
        <v>Electronics</v>
      </c>
      <c r="I5" s="5" t="s">
        <v>9</v>
      </c>
      <c r="J5" s="5" t="str">
        <f>TRIM(Table2678[[#This Row],[Product Name2]])</f>
        <v>Smartphone</v>
      </c>
      <c r="K5" s="5" t="str">
        <f>TRIM(Table2678[[#This Row],[Brand Name2]])</f>
        <v>Samsung</v>
      </c>
      <c r="L5" s="4">
        <v>900</v>
      </c>
      <c r="M5" s="5">
        <v>25</v>
      </c>
      <c r="N5" s="6" t="str">
        <f>TRIM(Table2678[[#This Row],[Category]])</f>
        <v>Electronics</v>
      </c>
    </row>
    <row r="6" spans="1:14">
      <c r="A6" s="5" t="s">
        <v>21</v>
      </c>
      <c r="B6" s="5" t="s">
        <v>22</v>
      </c>
      <c r="C6" s="5" t="str">
        <f>PROPER(Table2678[[#This Row],[Product Name]])</f>
        <v>Backpack</v>
      </c>
      <c r="D6" s="5" t="s">
        <v>23</v>
      </c>
      <c r="E6" s="5" t="str">
        <f t="shared" si="0"/>
        <v>North Face</v>
      </c>
      <c r="F6" s="5">
        <v>70</v>
      </c>
      <c r="G6" s="5">
        <v>20</v>
      </c>
      <c r="H6" s="5" t="str">
        <f t="shared" si="1"/>
        <v>Fashion</v>
      </c>
      <c r="I6" s="5" t="s">
        <v>13</v>
      </c>
      <c r="J6" s="5" t="str">
        <f>TRIM(Table2678[[#This Row],[Product Name2]])</f>
        <v>Backpack</v>
      </c>
      <c r="K6" s="5" t="str">
        <f>TRIM(Table2678[[#This Row],[Brand Name2]])</f>
        <v>North Face</v>
      </c>
      <c r="L6" s="4">
        <v>70</v>
      </c>
      <c r="M6" s="5">
        <v>20</v>
      </c>
      <c r="N6" s="6" t="str">
        <f>TRIM(Table2678[[#This Row],[Category]])</f>
        <v>Fashion</v>
      </c>
    </row>
    <row r="7" spans="1:14">
      <c r="A7" s="5" t="s">
        <v>24</v>
      </c>
      <c r="B7" s="5" t="s">
        <v>25</v>
      </c>
      <c r="C7" s="5" t="str">
        <f>PROPER(Table2678[[#This Row],[Product Name]])</f>
        <v>Headphones</v>
      </c>
      <c r="D7" s="5" t="s">
        <v>26</v>
      </c>
      <c r="E7" s="5" t="str">
        <f t="shared" si="0"/>
        <v>Sony</v>
      </c>
      <c r="F7" s="5">
        <v>298</v>
      </c>
      <c r="G7" s="5">
        <v>45</v>
      </c>
      <c r="H7" s="5" t="str">
        <f t="shared" si="1"/>
        <v>Electronics</v>
      </c>
      <c r="I7" s="5" t="s">
        <v>9</v>
      </c>
      <c r="J7" s="5" t="str">
        <f>TRIM(Table2678[[#This Row],[Product Name2]])</f>
        <v>Headphones</v>
      </c>
      <c r="K7" s="5" t="str">
        <f>TRIM(Table2678[[#This Row],[Brand Name2]])</f>
        <v>Sony</v>
      </c>
      <c r="L7" s="4">
        <v>298</v>
      </c>
      <c r="M7" s="5">
        <v>45</v>
      </c>
      <c r="N7" s="6" t="str">
        <f>TRIM(Table2678[[#This Row],[Category]])</f>
        <v>Electronics</v>
      </c>
    </row>
    <row r="8" spans="1:14">
      <c r="A8" s="5" t="s">
        <v>28</v>
      </c>
      <c r="B8" s="5" t="s">
        <v>29</v>
      </c>
      <c r="C8" s="5" t="str">
        <f>PROPER(Table2678[[#This Row],[Product Name]])</f>
        <v>T-Shirt</v>
      </c>
      <c r="D8" s="5" t="s">
        <v>30</v>
      </c>
      <c r="E8" s="5" t="str">
        <f t="shared" si="0"/>
        <v>Adidas</v>
      </c>
      <c r="F8" s="5">
        <v>30</v>
      </c>
      <c r="G8" s="5">
        <v>5</v>
      </c>
      <c r="H8" s="5" t="str">
        <f t="shared" si="1"/>
        <v>Fashion</v>
      </c>
      <c r="I8" s="5" t="s">
        <v>13</v>
      </c>
      <c r="J8" s="5" t="str">
        <f>TRIM(Table2678[[#This Row],[Product Name2]])</f>
        <v>T-Shirt</v>
      </c>
      <c r="K8" s="5" t="str">
        <f>TRIM(Table2678[[#This Row],[Brand Name2]])</f>
        <v>Adidas</v>
      </c>
      <c r="L8" s="4">
        <v>30</v>
      </c>
      <c r="M8" s="5">
        <v>5</v>
      </c>
      <c r="N8" s="6" t="str">
        <f>TRIM(Table2678[[#This Row],[Category]])</f>
        <v>Fashion</v>
      </c>
    </row>
    <row r="9" spans="1:14">
      <c r="A9" s="5" t="s">
        <v>31</v>
      </c>
      <c r="B9" s="5" t="s">
        <v>32</v>
      </c>
      <c r="C9" s="5" t="str">
        <f>PROPER(Table2678[[#This Row],[Product Name]])</f>
        <v>Blender</v>
      </c>
      <c r="D9" s="5" t="s">
        <v>33</v>
      </c>
      <c r="E9" s="5" t="str">
        <f t="shared" si="0"/>
        <v>Ninja</v>
      </c>
      <c r="F9" s="5">
        <v>90</v>
      </c>
      <c r="G9" s="5">
        <v>35</v>
      </c>
      <c r="H9" s="5" t="str">
        <f t="shared" si="1"/>
        <v>Kitchen</v>
      </c>
      <c r="I9" s="5" t="s">
        <v>17</v>
      </c>
      <c r="J9" s="5" t="str">
        <f>TRIM(Table2678[[#This Row],[Product Name2]])</f>
        <v>Blender</v>
      </c>
      <c r="K9" s="5" t="str">
        <f>TRIM(Table2678[[#This Row],[Brand Name2]])</f>
        <v>Ninja</v>
      </c>
      <c r="L9" s="4">
        <v>90</v>
      </c>
      <c r="M9" s="5">
        <v>35</v>
      </c>
      <c r="N9" s="6" t="str">
        <f>TRIM(Table2678[[#This Row],[Category]])</f>
        <v>Kitchen</v>
      </c>
    </row>
    <row r="10" spans="1:14">
      <c r="A10" s="5" t="s">
        <v>34</v>
      </c>
      <c r="B10" s="5" t="s">
        <v>35</v>
      </c>
      <c r="C10" s="5" t="str">
        <f>PROPER(Table2678[[#This Row],[Product Name]])</f>
        <v>Tablet</v>
      </c>
      <c r="D10" s="5" t="s">
        <v>36</v>
      </c>
      <c r="E10" s="5" t="str">
        <f t="shared" si="0"/>
        <v>Apple</v>
      </c>
      <c r="F10" s="5">
        <v>500</v>
      </c>
      <c r="G10" s="5">
        <v>50</v>
      </c>
      <c r="H10" s="5" t="str">
        <f t="shared" si="1"/>
        <v>Electronics</v>
      </c>
      <c r="I10" s="5" t="s">
        <v>9</v>
      </c>
      <c r="J10" s="5" t="str">
        <f>TRIM(Table2678[[#This Row],[Product Name2]])</f>
        <v>Tablet</v>
      </c>
      <c r="K10" s="5" t="str">
        <f>TRIM(Table2678[[#This Row],[Brand Name2]])</f>
        <v>Apple</v>
      </c>
      <c r="L10" s="4">
        <v>500</v>
      </c>
      <c r="M10" s="5">
        <v>50</v>
      </c>
      <c r="N10" s="6" t="s">
        <v>56</v>
      </c>
    </row>
    <row r="11" spans="1:14">
      <c r="A11" s="5" t="s">
        <v>37</v>
      </c>
      <c r="B11" s="5" t="s">
        <v>38</v>
      </c>
      <c r="C11" s="5" t="str">
        <f>PROPER(Table2678[[#This Row],[Product Name]])</f>
        <v>Hiking Boots</v>
      </c>
      <c r="D11" s="5" t="s">
        <v>39</v>
      </c>
      <c r="E11" s="5" t="str">
        <f t="shared" si="0"/>
        <v>Timberland</v>
      </c>
      <c r="F11" s="5">
        <v>130</v>
      </c>
      <c r="G11" s="5">
        <v>10</v>
      </c>
      <c r="H11" s="5" t="str">
        <f t="shared" si="1"/>
        <v>Outdoor</v>
      </c>
      <c r="I11" s="5" t="s">
        <v>40</v>
      </c>
      <c r="J11" s="5" t="str">
        <f>TRIM(Table2678[[#This Row],[Product Name2]])</f>
        <v>Hiking Boots</v>
      </c>
      <c r="K11" s="5" t="str">
        <f>TRIM(Table2678[[#This Row],[Brand Name2]])</f>
        <v>Timberland</v>
      </c>
      <c r="L11" s="4">
        <v>130</v>
      </c>
      <c r="M11" s="5">
        <v>10</v>
      </c>
      <c r="N11" s="6" t="str">
        <f>TRIM(Table2678[[#This Row],[Category]])</f>
        <v>Outdoor</v>
      </c>
    </row>
    <row r="12" spans="1:14">
      <c r="A12" s="5" t="s">
        <v>41</v>
      </c>
      <c r="B12" s="5" t="s">
        <v>42</v>
      </c>
      <c r="C12" s="5" t="str">
        <f>PROPER(Table2678[[#This Row],[Product Name]])</f>
        <v>Laptop</v>
      </c>
      <c r="D12" s="5" t="s">
        <v>43</v>
      </c>
      <c r="E12" s="5" t="str">
        <f t="shared" si="0"/>
        <v>Hp</v>
      </c>
      <c r="F12" s="5">
        <v>950</v>
      </c>
      <c r="G12" s="5">
        <v>25</v>
      </c>
      <c r="H12" s="5" t="str">
        <f t="shared" si="1"/>
        <v>Electronics</v>
      </c>
      <c r="I12" s="5" t="s">
        <v>9</v>
      </c>
      <c r="J12" s="5" t="str">
        <f>TRIM(Table2678[[#This Row],[Product Name2]])</f>
        <v>Laptop</v>
      </c>
      <c r="K12" s="5" t="str">
        <f>TRIM(Table2678[[#This Row],[Brand Name2]])</f>
        <v>Hp</v>
      </c>
      <c r="L12" s="4">
        <v>950</v>
      </c>
      <c r="M12" s="5">
        <v>25</v>
      </c>
      <c r="N12" s="6" t="str">
        <f>TRIM(Table2678[[#This Row],[Category]])</f>
        <v>Electronics</v>
      </c>
    </row>
    <row r="13" spans="1:14">
      <c r="A13" s="5" t="s">
        <v>44</v>
      </c>
      <c r="B13" s="5" t="s">
        <v>11</v>
      </c>
      <c r="C13" s="5" t="str">
        <f>PROPER(Table2678[[#This Row],[Product Name]])</f>
        <v>Sneakers</v>
      </c>
      <c r="D13" s="5" t="s">
        <v>30</v>
      </c>
      <c r="E13" s="5" t="str">
        <f t="shared" si="0"/>
        <v>Adidas</v>
      </c>
      <c r="F13" s="5">
        <v>90</v>
      </c>
      <c r="G13" s="5">
        <v>40</v>
      </c>
      <c r="H13" s="5" t="str">
        <f t="shared" si="1"/>
        <v>Electronics</v>
      </c>
      <c r="I13" s="5" t="s">
        <v>9</v>
      </c>
      <c r="J13" s="5" t="str">
        <f>TRIM(Table2678[[#This Row],[Product Name2]])</f>
        <v>Sneakers</v>
      </c>
      <c r="K13" s="5" t="str">
        <f>TRIM(Table2678[[#This Row],[Brand Name2]])</f>
        <v>Adidas</v>
      </c>
      <c r="L13" s="4">
        <v>90</v>
      </c>
      <c r="M13" s="5">
        <v>40</v>
      </c>
      <c r="N13" s="6" t="str">
        <f>TRIM(Table2678[[#This Row],[Category]])</f>
        <v>Electronics</v>
      </c>
    </row>
    <row r="14" spans="1:14">
      <c r="A14" s="5" t="s">
        <v>45</v>
      </c>
      <c r="B14" s="5" t="s">
        <v>15</v>
      </c>
      <c r="C14" s="5" t="str">
        <f>PROPER(Table2678[[#This Row],[Product Name]])</f>
        <v>Coffee Maker</v>
      </c>
      <c r="D14" s="5" t="s">
        <v>46</v>
      </c>
      <c r="E14" s="5" t="str">
        <f t="shared" si="0"/>
        <v>Nespresso</v>
      </c>
      <c r="F14" s="5">
        <v>120</v>
      </c>
      <c r="G14" s="5">
        <v>35</v>
      </c>
      <c r="H14" s="5" t="str">
        <f t="shared" si="1"/>
        <v>Kitchen</v>
      </c>
      <c r="I14" s="5" t="s">
        <v>17</v>
      </c>
      <c r="J14" s="5" t="str">
        <f>TRIM(Table2678[[#This Row],[Product Name2]])</f>
        <v>Coffee Maker</v>
      </c>
      <c r="K14" s="5" t="str">
        <f>TRIM(Table2678[[#This Row],[Brand Name2]])</f>
        <v>Nespresso</v>
      </c>
      <c r="L14" s="4">
        <v>120</v>
      </c>
      <c r="M14" s="5">
        <v>35</v>
      </c>
      <c r="N14" s="6" t="str">
        <f>TRIM(Table2678[[#This Row],[Category]])</f>
        <v>Kitchen</v>
      </c>
    </row>
    <row r="15" spans="1:14">
      <c r="A15" s="5" t="s">
        <v>47</v>
      </c>
      <c r="B15" s="5" t="s">
        <v>48</v>
      </c>
      <c r="C15" s="5" t="str">
        <f>PROPER(Table2678[[#This Row],[Product Name]])</f>
        <v>Smartwatch</v>
      </c>
      <c r="D15" s="5" t="s">
        <v>49</v>
      </c>
      <c r="E15" s="5" t="str">
        <f t="shared" si="0"/>
        <v>Fitbit</v>
      </c>
      <c r="F15" s="5">
        <v>150</v>
      </c>
      <c r="G15" s="5">
        <v>15</v>
      </c>
      <c r="H15" s="5" t="str">
        <f t="shared" si="1"/>
        <v>Electronics</v>
      </c>
      <c r="I15" s="5" t="s">
        <v>9</v>
      </c>
      <c r="J15" s="5" t="str">
        <f>TRIM(Table2678[[#This Row],[Product Name2]])</f>
        <v>Smartwatch</v>
      </c>
      <c r="K15" s="5" t="str">
        <f>TRIM(Table2678[[#This Row],[Brand Name2]])</f>
        <v>Fitbit</v>
      </c>
      <c r="L15" s="4">
        <v>150</v>
      </c>
      <c r="M15" s="5">
        <v>15</v>
      </c>
      <c r="N15" s="6" t="str">
        <f>TRIM(Table2678[[#This Row],[Category]])</f>
        <v>Electronics</v>
      </c>
    </row>
    <row r="16" spans="1:14">
      <c r="A16" s="5" t="s">
        <v>50</v>
      </c>
      <c r="B16" s="5" t="s">
        <v>51</v>
      </c>
      <c r="C16" s="5" t="str">
        <f>PROPER(Table2678[[#This Row],[Product Name]])</f>
        <v>Headphones</v>
      </c>
      <c r="D16" s="5" t="s">
        <v>52</v>
      </c>
      <c r="E16" s="5" t="str">
        <f t="shared" si="0"/>
        <v>Bose</v>
      </c>
      <c r="F16" s="5">
        <v>250</v>
      </c>
      <c r="G16" s="5">
        <v>20</v>
      </c>
      <c r="H16" s="5" t="str">
        <f t="shared" si="1"/>
        <v>Electronics</v>
      </c>
      <c r="I16" s="5" t="s">
        <v>9</v>
      </c>
      <c r="J16" s="5" t="str">
        <f>TRIM(Table2678[[#This Row],[Product Name2]])</f>
        <v>Headphones</v>
      </c>
      <c r="K16" s="5" t="str">
        <f>TRIM(Table2678[[#This Row],[Brand Name2]])</f>
        <v>Bose</v>
      </c>
      <c r="L16" s="4">
        <v>250</v>
      </c>
      <c r="M16" s="5">
        <v>20</v>
      </c>
      <c r="N16" s="6" t="str">
        <f>TRIM(Table2678[[#This Row],[Category]])</f>
        <v>Electronics</v>
      </c>
    </row>
    <row r="17" spans="1:14">
      <c r="A17" s="5" t="s">
        <v>53</v>
      </c>
      <c r="B17" s="5" t="s">
        <v>54</v>
      </c>
      <c r="C17" s="5" t="str">
        <f>PROPER(Table2678[[#This Row],[Product Name]])</f>
        <v>Laptop Bag</v>
      </c>
      <c r="D17" s="5" t="s">
        <v>55</v>
      </c>
      <c r="E17" s="5" t="str">
        <f t="shared" si="0"/>
        <v>Samsonite</v>
      </c>
      <c r="F17" s="5">
        <v>50</v>
      </c>
      <c r="G17" s="5">
        <v>35</v>
      </c>
      <c r="H17" s="5" t="str">
        <f t="shared" si="1"/>
        <v>Accessories</v>
      </c>
      <c r="I17" s="5" t="s">
        <v>56</v>
      </c>
      <c r="J17" s="5" t="str">
        <f>TRIM(Table2678[[#This Row],[Product Name2]])</f>
        <v>Laptop Bag</v>
      </c>
      <c r="K17" s="5" t="str">
        <f>TRIM(Table2678[[#This Row],[Brand Name2]])</f>
        <v>Samsonite</v>
      </c>
      <c r="L17" s="4">
        <v>50</v>
      </c>
      <c r="M17" s="5">
        <v>35</v>
      </c>
      <c r="N17" s="6" t="str">
        <f>TRIM(Table2678[[#This Row],[Category]])</f>
        <v>Accessories</v>
      </c>
    </row>
    <row r="18" spans="1:14">
      <c r="A18" s="5" t="s">
        <v>57</v>
      </c>
      <c r="B18" s="5" t="s">
        <v>48</v>
      </c>
      <c r="C18" s="5" t="str">
        <f>PROPER(Table2678[[#This Row],[Product Name]])</f>
        <v>Smartwatch</v>
      </c>
      <c r="D18" s="5" t="s">
        <v>58</v>
      </c>
      <c r="E18" s="5" t="str">
        <f t="shared" si="0"/>
        <v>Huawei</v>
      </c>
      <c r="F18" s="5">
        <v>160</v>
      </c>
      <c r="G18" s="5">
        <v>15</v>
      </c>
      <c r="H18" s="5" t="str">
        <f t="shared" si="1"/>
        <v>Electronics</v>
      </c>
      <c r="I18" s="5" t="s">
        <v>9</v>
      </c>
      <c r="J18" s="5" t="str">
        <f>TRIM(Table2678[[#This Row],[Product Name2]])</f>
        <v>Smartwatch</v>
      </c>
      <c r="K18" s="5" t="str">
        <f>TRIM(Table2678[[#This Row],[Brand Name2]])</f>
        <v>Huawei</v>
      </c>
      <c r="L18" s="4">
        <v>160</v>
      </c>
      <c r="M18" s="5">
        <v>15</v>
      </c>
      <c r="N18" s="6" t="str">
        <f>TRIM(Table2678[[#This Row],[Category]])</f>
        <v>Electronics</v>
      </c>
    </row>
    <row r="19" spans="1:14">
      <c r="A19" s="5" t="s">
        <v>59</v>
      </c>
      <c r="B19" s="5" t="s">
        <v>7</v>
      </c>
      <c r="C19" s="5" t="str">
        <f>PROPER(Table2678[[#This Row],[Product Name]])</f>
        <v>Laptop</v>
      </c>
      <c r="D19" s="5" t="s">
        <v>60</v>
      </c>
      <c r="E19" s="5" t="str">
        <f t="shared" si="0"/>
        <v>Asus</v>
      </c>
      <c r="F19" s="5">
        <v>980</v>
      </c>
      <c r="G19" s="5">
        <v>10</v>
      </c>
      <c r="H19" s="5" t="str">
        <f t="shared" si="1"/>
        <v>Electronics</v>
      </c>
      <c r="I19" s="5" t="s">
        <v>9</v>
      </c>
      <c r="J19" s="5" t="str">
        <f>TRIM(Table2678[[#This Row],[Product Name2]])</f>
        <v>Laptop</v>
      </c>
      <c r="K19" s="5" t="str">
        <f>TRIM(Table2678[[#This Row],[Brand Name2]])</f>
        <v>Asus</v>
      </c>
      <c r="L19" s="4">
        <v>980</v>
      </c>
      <c r="M19" s="5">
        <v>10</v>
      </c>
      <c r="N19" s="6" t="str">
        <f>TRIM(Table2678[[#This Row],[Category]])</f>
        <v>Electronics</v>
      </c>
    </row>
    <row r="20" spans="1:14">
      <c r="A20" s="5" t="s">
        <v>61</v>
      </c>
      <c r="B20" s="5" t="s">
        <v>62</v>
      </c>
      <c r="C20" s="5" t="str">
        <f>PROPER(Table2678[[#This Row],[Product Name]])</f>
        <v>Sunglasses</v>
      </c>
      <c r="D20" s="5" t="s">
        <v>63</v>
      </c>
      <c r="E20" s="5" t="str">
        <f t="shared" si="0"/>
        <v>Oakley</v>
      </c>
      <c r="F20" s="5">
        <v>150</v>
      </c>
      <c r="G20" s="5">
        <v>15</v>
      </c>
      <c r="H20" s="5" t="str">
        <f t="shared" si="1"/>
        <v>Fashion</v>
      </c>
      <c r="I20" s="5" t="s">
        <v>13</v>
      </c>
      <c r="J20" s="5" t="str">
        <f>TRIM(Table2678[[#This Row],[Product Name2]])</f>
        <v>Sunglasses</v>
      </c>
      <c r="K20" s="5" t="str">
        <f>TRIM(Table2678[[#This Row],[Brand Name2]])</f>
        <v>Oakley</v>
      </c>
      <c r="L20" s="4">
        <v>150</v>
      </c>
      <c r="M20" s="5">
        <v>15</v>
      </c>
      <c r="N20" s="6" t="str">
        <f>TRIM(Table2678[[#This Row],[Category]])</f>
        <v>Fashion</v>
      </c>
    </row>
    <row r="21" spans="1:14">
      <c r="A21" s="5" t="s">
        <v>64</v>
      </c>
      <c r="B21" s="5" t="s">
        <v>65</v>
      </c>
      <c r="C21" s="5" t="str">
        <f>PROPER(Table2678[[#This Row],[Product Name]])</f>
        <v>Camping Tent</v>
      </c>
      <c r="D21" s="5" t="s">
        <v>66</v>
      </c>
      <c r="E21" s="5" t="str">
        <f t="shared" si="0"/>
        <v>Coleman</v>
      </c>
      <c r="F21" s="5">
        <v>130</v>
      </c>
      <c r="G21" s="5">
        <v>10</v>
      </c>
      <c r="H21" s="5" t="str">
        <f t="shared" si="1"/>
        <v>Outdoor</v>
      </c>
      <c r="I21" s="5" t="s">
        <v>40</v>
      </c>
      <c r="J21" s="5" t="str">
        <f>TRIM(Table2678[[#This Row],[Product Name2]])</f>
        <v>Camping Tent</v>
      </c>
      <c r="K21" s="5" t="str">
        <f>TRIM(Table2678[[#This Row],[Brand Name2]])</f>
        <v>Coleman</v>
      </c>
      <c r="L21" s="4">
        <v>130</v>
      </c>
      <c r="M21" s="5">
        <v>10</v>
      </c>
      <c r="N21" s="6" t="str">
        <f>TRIM(Table2678[[#This Row],[Category]])</f>
        <v>Outdoor</v>
      </c>
    </row>
    <row r="22" spans="1:14">
      <c r="A22" s="5" t="s">
        <v>67</v>
      </c>
      <c r="B22" s="5" t="s">
        <v>68</v>
      </c>
      <c r="C22" s="5" t="str">
        <f>PROPER(Table2678[[#This Row],[Product Name]])</f>
        <v>Camera</v>
      </c>
      <c r="D22" s="5" t="s">
        <v>69</v>
      </c>
      <c r="E22" s="5" t="str">
        <f t="shared" si="0"/>
        <v>Nikon</v>
      </c>
      <c r="F22" s="5">
        <v>700</v>
      </c>
      <c r="G22" s="5">
        <v>50</v>
      </c>
      <c r="H22" s="5" t="str">
        <f t="shared" si="1"/>
        <v>Electronics</v>
      </c>
      <c r="I22" s="5" t="s">
        <v>9</v>
      </c>
      <c r="J22" s="5" t="str">
        <f>TRIM(Table2678[[#This Row],[Product Name2]])</f>
        <v>Camera</v>
      </c>
      <c r="K22" s="5" t="str">
        <f>TRIM(Table2678[[#This Row],[Brand Name2]])</f>
        <v>Nikon</v>
      </c>
      <c r="L22" s="4">
        <v>700</v>
      </c>
      <c r="M22" s="5">
        <v>50</v>
      </c>
      <c r="N22" s="6" t="str">
        <f>TRIM(Table2678[[#This Row],[Category]])</f>
        <v>Electronics</v>
      </c>
    </row>
    <row r="23" spans="1:14">
      <c r="A23" s="5" t="s">
        <v>70</v>
      </c>
      <c r="B23" s="5" t="s">
        <v>71</v>
      </c>
      <c r="C23" s="5" t="str">
        <f>PROPER(Table2678[[#This Row],[Product Name]])</f>
        <v>Microwave</v>
      </c>
      <c r="D23" s="5" t="s">
        <v>72</v>
      </c>
      <c r="E23" s="5" t="str">
        <f t="shared" si="0"/>
        <v>Panasonic</v>
      </c>
      <c r="F23" s="5">
        <v>80</v>
      </c>
      <c r="G23" s="5">
        <v>20</v>
      </c>
      <c r="H23" s="5" t="str">
        <f t="shared" si="1"/>
        <v>Kitchen</v>
      </c>
      <c r="I23" s="5" t="s">
        <v>17</v>
      </c>
      <c r="J23" s="5" t="str">
        <f>TRIM(Table2678[[#This Row],[Product Name2]])</f>
        <v>Microwave</v>
      </c>
      <c r="K23" s="5" t="str">
        <f>TRIM(Table2678[[#This Row],[Brand Name2]])</f>
        <v>Panasonic</v>
      </c>
      <c r="L23" s="4">
        <v>80</v>
      </c>
      <c r="M23" s="5">
        <v>20</v>
      </c>
      <c r="N23" s="6" t="str">
        <f>TRIM(Table2678[[#This Row],[Category]])</f>
        <v>Kitchen</v>
      </c>
    </row>
    <row r="24" spans="1:14">
      <c r="A24" s="5" t="s">
        <v>73</v>
      </c>
      <c r="B24" s="5" t="s">
        <v>74</v>
      </c>
      <c r="C24" s="5" t="str">
        <f>PROPER(Table2678[[#This Row],[Product Name]])</f>
        <v>Fitness Tracker</v>
      </c>
      <c r="D24" s="5" t="s">
        <v>75</v>
      </c>
      <c r="E24" s="5" t="str">
        <f t="shared" si="0"/>
        <v>Xiaomi</v>
      </c>
      <c r="F24" s="5">
        <v>150</v>
      </c>
      <c r="G24" s="5">
        <v>30</v>
      </c>
      <c r="H24" s="5" t="str">
        <f t="shared" si="1"/>
        <v>Electronics</v>
      </c>
      <c r="I24" s="5" t="s">
        <v>9</v>
      </c>
      <c r="J24" s="5" t="str">
        <f>TRIM(Table2678[[#This Row],[Product Name2]])</f>
        <v>Fitness Tracker</v>
      </c>
      <c r="K24" s="5" t="str">
        <f>TRIM(Table2678[[#This Row],[Brand Name2]])</f>
        <v>Xiaomi</v>
      </c>
      <c r="L24" s="4">
        <v>150</v>
      </c>
      <c r="M24" s="5">
        <v>30</v>
      </c>
      <c r="N24" s="6" t="str">
        <f>TRIM(Table2678[[#This Row],[Category]])</f>
        <v>Electronics</v>
      </c>
    </row>
    <row r="25" spans="1:14">
      <c r="A25" s="5" t="s">
        <v>76</v>
      </c>
      <c r="B25" s="5" t="s">
        <v>77</v>
      </c>
      <c r="C25" s="5" t="str">
        <f>PROPER(Table2678[[#This Row],[Product Name]])</f>
        <v>Smartphone</v>
      </c>
      <c r="D25" s="5" t="s">
        <v>78</v>
      </c>
      <c r="E25" s="5" t="str">
        <f t="shared" si="0"/>
        <v>Google</v>
      </c>
      <c r="F25" s="5">
        <v>800</v>
      </c>
      <c r="G25" s="5">
        <v>45</v>
      </c>
      <c r="H25" s="5" t="str">
        <f t="shared" si="1"/>
        <v>Electronics</v>
      </c>
      <c r="I25" s="5" t="s">
        <v>9</v>
      </c>
      <c r="J25" s="5" t="str">
        <f>TRIM(Table2678[[#This Row],[Product Name2]])</f>
        <v>Smartphone</v>
      </c>
      <c r="K25" s="5" t="str">
        <f>TRIM(Table2678[[#This Row],[Brand Name2]])</f>
        <v>Google</v>
      </c>
      <c r="L25" s="4">
        <v>800</v>
      </c>
      <c r="M25" s="5">
        <v>45</v>
      </c>
      <c r="N25" s="6" t="str">
        <f>TRIM(Table2678[[#This Row],[Category]])</f>
        <v>Electronics</v>
      </c>
    </row>
    <row r="26" spans="1:14">
      <c r="A26" s="5" t="s">
        <v>79</v>
      </c>
      <c r="B26" s="5" t="s">
        <v>62</v>
      </c>
      <c r="C26" s="5" t="str">
        <f>PROPER(Table2678[[#This Row],[Product Name]])</f>
        <v>Sunglasses</v>
      </c>
      <c r="D26" s="5" t="s">
        <v>80</v>
      </c>
      <c r="E26" s="5" t="str">
        <f t="shared" si="0"/>
        <v>Ray-Ban</v>
      </c>
      <c r="F26" s="5">
        <v>274</v>
      </c>
      <c r="G26" s="5">
        <v>25</v>
      </c>
      <c r="H26" s="5" t="str">
        <f t="shared" si="1"/>
        <v>Fashion</v>
      </c>
      <c r="I26" s="5" t="s">
        <v>13</v>
      </c>
      <c r="J26" s="5" t="str">
        <f>TRIM(Table2678[[#This Row],[Product Name2]])</f>
        <v>Sunglasses</v>
      </c>
      <c r="K26" s="5" t="str">
        <f>TRIM(Table2678[[#This Row],[Brand Name2]])</f>
        <v>Ray-Ban</v>
      </c>
      <c r="L26" s="4">
        <v>274</v>
      </c>
      <c r="M26" s="5">
        <v>25</v>
      </c>
      <c r="N26" s="6" t="str">
        <f>TRIM(Table2678[[#This Row],[Category]])</f>
        <v>Fashion</v>
      </c>
    </row>
    <row r="27" spans="1:14">
      <c r="A27" s="5" t="s">
        <v>81</v>
      </c>
      <c r="B27" s="5" t="s">
        <v>32</v>
      </c>
      <c r="C27" s="5" t="str">
        <f>PROPER(Table2678[[#This Row],[Product Name]])</f>
        <v>Blender</v>
      </c>
      <c r="D27" s="5" t="s">
        <v>82</v>
      </c>
      <c r="E27" s="5" t="str">
        <f t="shared" si="0"/>
        <v>Vitamix</v>
      </c>
      <c r="F27" s="5">
        <v>400</v>
      </c>
      <c r="G27" s="5">
        <v>40</v>
      </c>
      <c r="H27" s="5" t="str">
        <f t="shared" si="1"/>
        <v>Kitchen</v>
      </c>
      <c r="I27" s="5" t="s">
        <v>17</v>
      </c>
      <c r="J27" s="5" t="str">
        <f>TRIM(Table2678[[#This Row],[Product Name2]])</f>
        <v>Blender</v>
      </c>
      <c r="K27" s="5" t="str">
        <f>TRIM(Table2678[[#This Row],[Brand Name2]])</f>
        <v>Vitamix</v>
      </c>
      <c r="L27" s="4">
        <v>400</v>
      </c>
      <c r="M27" s="5">
        <v>40</v>
      </c>
      <c r="N27" s="6" t="str">
        <f>TRIM(Table2678[[#This Row],[Category]])</f>
        <v>Kitchen</v>
      </c>
    </row>
    <row r="28" spans="1:14">
      <c r="A28" s="5" t="s">
        <v>83</v>
      </c>
      <c r="B28" s="5" t="s">
        <v>84</v>
      </c>
      <c r="C28" s="5" t="str">
        <f>PROPER(Table2678[[#This Row],[Product Name]])</f>
        <v>Dress</v>
      </c>
      <c r="D28" s="5" t="s">
        <v>85</v>
      </c>
      <c r="E28" s="5" t="str">
        <f t="shared" si="0"/>
        <v>Zara</v>
      </c>
      <c r="F28" s="5">
        <v>60</v>
      </c>
      <c r="G28" s="5">
        <v>30</v>
      </c>
      <c r="H28" s="5" t="str">
        <f t="shared" si="1"/>
        <v>Fashion</v>
      </c>
      <c r="I28" s="5" t="s">
        <v>13</v>
      </c>
      <c r="J28" s="5" t="str">
        <f>TRIM(Table2678[[#This Row],[Product Name2]])</f>
        <v>Dress</v>
      </c>
      <c r="K28" s="5" t="str">
        <f>TRIM(Table2678[[#This Row],[Brand Name2]])</f>
        <v>Zara</v>
      </c>
      <c r="L28" s="4">
        <v>60</v>
      </c>
      <c r="M28" s="5">
        <v>30</v>
      </c>
      <c r="N28" s="6" t="str">
        <f>TRIM(Table2678[[#This Row],[Category]])</f>
        <v>Fashion</v>
      </c>
    </row>
    <row r="29" spans="1:14">
      <c r="A29" s="5" t="s">
        <v>86</v>
      </c>
      <c r="B29" s="5" t="s">
        <v>87</v>
      </c>
      <c r="C29" s="5" t="str">
        <f>PROPER(Table2678[[#This Row],[Product Name]])</f>
        <v>Toaster</v>
      </c>
      <c r="D29" s="5" t="s">
        <v>88</v>
      </c>
      <c r="E29" s="5" t="str">
        <f t="shared" si="0"/>
        <v>Hamilton</v>
      </c>
      <c r="F29" s="5">
        <v>40</v>
      </c>
      <c r="G29" s="5">
        <v>10</v>
      </c>
      <c r="H29" s="5" t="str">
        <f t="shared" si="1"/>
        <v>Kitchen</v>
      </c>
      <c r="I29" s="5" t="s">
        <v>17</v>
      </c>
      <c r="J29" s="5" t="str">
        <f>TRIM(Table2678[[#This Row],[Product Name2]])</f>
        <v>Toaster</v>
      </c>
      <c r="K29" s="5" t="str">
        <f>TRIM(Table2678[[#This Row],[Brand Name2]])</f>
        <v>Hamilton</v>
      </c>
      <c r="L29" s="4">
        <v>40</v>
      </c>
      <c r="M29" s="5">
        <v>10</v>
      </c>
      <c r="N29" s="6" t="str">
        <f>TRIM(Table2678[[#This Row],[Category]])</f>
        <v>Kitchen</v>
      </c>
    </row>
    <row r="30" spans="1:14">
      <c r="A30" s="5" t="s">
        <v>89</v>
      </c>
      <c r="B30" s="5" t="s">
        <v>74</v>
      </c>
      <c r="C30" s="5" t="str">
        <f>PROPER(Table2678[[#This Row],[Product Name]])</f>
        <v>Fitness Tracker</v>
      </c>
      <c r="D30" s="5" t="s">
        <v>90</v>
      </c>
      <c r="E30" s="5" t="str">
        <f t="shared" si="0"/>
        <v>Garmin</v>
      </c>
      <c r="F30" s="5">
        <v>130</v>
      </c>
      <c r="G30" s="5">
        <v>5</v>
      </c>
      <c r="H30" s="5" t="str">
        <f t="shared" si="1"/>
        <v>Electronics</v>
      </c>
      <c r="I30" s="5" t="s">
        <v>9</v>
      </c>
      <c r="J30" s="5" t="str">
        <f>TRIM(Table2678[[#This Row],[Product Name2]])</f>
        <v>Fitness Tracker</v>
      </c>
      <c r="K30" s="5" t="str">
        <f>TRIM(Table2678[[#This Row],[Brand Name2]])</f>
        <v>Garmin</v>
      </c>
      <c r="L30" s="4">
        <v>130</v>
      </c>
      <c r="M30" s="5">
        <v>5</v>
      </c>
      <c r="N30" s="6" t="str">
        <f>TRIM(Table2678[[#This Row],[Category]])</f>
        <v>Electronics</v>
      </c>
    </row>
    <row r="31" spans="1:14">
      <c r="A31" s="5" t="s">
        <v>91</v>
      </c>
      <c r="B31" s="5" t="s">
        <v>92</v>
      </c>
      <c r="C31" s="5" t="str">
        <f>PROPER(Table2678[[#This Row],[Product Name]])</f>
        <v>Jeans</v>
      </c>
      <c r="D31" s="5" t="s">
        <v>93</v>
      </c>
      <c r="E31" s="5" t="str">
        <f t="shared" si="0"/>
        <v>Levi'S</v>
      </c>
      <c r="F31" s="5">
        <v>50</v>
      </c>
      <c r="G31" s="5">
        <v>50</v>
      </c>
      <c r="H31" s="5" t="str">
        <f t="shared" si="1"/>
        <v>Fashion</v>
      </c>
      <c r="I31" s="5" t="s">
        <v>13</v>
      </c>
      <c r="J31" s="5" t="str">
        <f>TRIM(Table2678[[#This Row],[Product Name2]])</f>
        <v>Jeans</v>
      </c>
      <c r="K31" s="5" t="str">
        <f>TRIM(Table2678[[#This Row],[Brand Name2]])</f>
        <v>Levi'S</v>
      </c>
      <c r="L31" s="4">
        <v>50</v>
      </c>
      <c r="M31" s="5">
        <v>50</v>
      </c>
      <c r="N31" s="6" t="str">
        <f>TRIM(Table2678[[#This Row],[Category]])</f>
        <v>Fashion</v>
      </c>
    </row>
    <row r="32" spans="1:14">
      <c r="A32" s="5" t="s">
        <v>94</v>
      </c>
      <c r="B32" s="5" t="s">
        <v>95</v>
      </c>
      <c r="C32" s="5" t="str">
        <f>PROPER(Table2678[[#This Row],[Product Name]])</f>
        <v>Watch</v>
      </c>
      <c r="D32" s="5" t="s">
        <v>96</v>
      </c>
      <c r="E32" s="5" t="str">
        <f t="shared" si="0"/>
        <v>Casio</v>
      </c>
      <c r="F32" s="5">
        <v>100</v>
      </c>
      <c r="G32" s="5">
        <v>20</v>
      </c>
      <c r="H32" s="5" t="str">
        <f t="shared" si="1"/>
        <v>Accessories</v>
      </c>
      <c r="I32" s="5" t="s">
        <v>56</v>
      </c>
      <c r="J32" s="5" t="str">
        <f>TRIM(Table2678[[#This Row],[Product Name2]])</f>
        <v>Watch</v>
      </c>
      <c r="K32" s="5" t="str">
        <f>TRIM(Table2678[[#This Row],[Brand Name2]])</f>
        <v>Casio</v>
      </c>
      <c r="L32" s="28">
        <v>100</v>
      </c>
      <c r="M32" s="29">
        <v>20</v>
      </c>
      <c r="N32" s="30" t="str">
        <f>TRIM(Table2678[[#This Row],[Category]])</f>
        <v>Accessories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"/>
  <sheetViews>
    <sheetView workbookViewId="0">
      <selection activeCell="G23" sqref="G23"/>
    </sheetView>
  </sheetViews>
  <sheetFormatPr defaultColWidth="9" defaultRowHeight="14.4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33"/>
  <sheetViews>
    <sheetView tabSelected="1" workbookViewId="0">
      <selection activeCell="J21" sqref="J21"/>
    </sheetView>
  </sheetViews>
  <sheetFormatPr defaultColWidth="9" defaultRowHeight="14.4" outlineLevelCol="6"/>
  <cols>
    <col min="1" max="1" width="10.7777777777778" customWidth="1"/>
    <col min="2" max="2" width="18.2222222222222" customWidth="1"/>
    <col min="3" max="3" width="13.3333333333333" customWidth="1"/>
    <col min="5" max="5" width="11.7777777777778" customWidth="1"/>
    <col min="6" max="6" width="13.6666666666667" customWidth="1"/>
    <col min="7" max="7" width="21.4444444444444" customWidth="1"/>
  </cols>
  <sheetData>
    <row r="1" spans="1:7">
      <c r="A1" s="19" t="s">
        <v>103</v>
      </c>
      <c r="B1" s="20"/>
      <c r="C1" s="20"/>
      <c r="E1" s="19" t="s">
        <v>104</v>
      </c>
      <c r="F1" s="20"/>
      <c r="G1" s="21"/>
    </row>
    <row r="2" spans="1:7">
      <c r="A2" s="22" t="s">
        <v>0</v>
      </c>
      <c r="B2" s="23" t="s">
        <v>105</v>
      </c>
      <c r="C2" s="24" t="s">
        <v>106</v>
      </c>
      <c r="E2" s="25" t="s">
        <v>2</v>
      </c>
      <c r="F2" s="26" t="s">
        <v>1</v>
      </c>
      <c r="G2" s="27" t="s">
        <v>107</v>
      </c>
    </row>
    <row r="3" spans="1:7">
      <c r="A3" s="4" t="s">
        <v>6</v>
      </c>
      <c r="B3" s="5" t="str">
        <f>LEFT(A3,2)</f>
        <v>28</v>
      </c>
      <c r="C3" s="6" t="str">
        <f>RIGHT(A3,2)</f>
        <v>US</v>
      </c>
      <c r="E3" s="4" t="str">
        <f>TRIM(Table2678[[#This Row],[Brand Name2]])</f>
        <v>Nike</v>
      </c>
      <c r="F3" s="5" t="str">
        <f>TRIM(Table2678[[#This Row],[Product Name2]])</f>
        <v>Sneakers</v>
      </c>
      <c r="G3" s="6" t="str">
        <f>CONCATENATE(E3," ",F3)</f>
        <v>Nike Sneakers</v>
      </c>
    </row>
    <row r="4" spans="1:7">
      <c r="A4" s="4" t="s">
        <v>10</v>
      </c>
      <c r="B4" s="5" t="str">
        <f t="shared" ref="B4:B33" si="0">LEFT(A4,2)</f>
        <v>15</v>
      </c>
      <c r="C4" s="6" t="str">
        <f t="shared" ref="C4:C33" si="1">RIGHT(A4,2)</f>
        <v>US</v>
      </c>
      <c r="E4" s="4" t="str">
        <f>TRIM(Table2678[[#This Row],[Brand Name2]])</f>
        <v>Keurig</v>
      </c>
      <c r="F4" s="5" t="str">
        <f>TRIM(Table2678[[#This Row],[Product Name2]])</f>
        <v>Coffee Maker</v>
      </c>
      <c r="G4" s="6" t="str">
        <f t="shared" ref="G4:G33" si="2">CONCATENATE(E4," ",F4)</f>
        <v>Keurig Coffee Maker</v>
      </c>
    </row>
    <row r="5" spans="1:7">
      <c r="A5" s="4" t="s">
        <v>14</v>
      </c>
      <c r="B5" s="5" t="str">
        <f t="shared" si="0"/>
        <v>03</v>
      </c>
      <c r="C5" s="6" t="str">
        <f t="shared" si="1"/>
        <v>US</v>
      </c>
      <c r="E5" s="4" t="str">
        <f>TRIM(Table2678[[#This Row],[Brand Name2]])</f>
        <v>Samsung</v>
      </c>
      <c r="F5" s="5" t="str">
        <f>TRIM(Table2678[[#This Row],[Product Name2]])</f>
        <v>Smartphone</v>
      </c>
      <c r="G5" s="6" t="str">
        <f t="shared" si="2"/>
        <v>Samsung Smartphone</v>
      </c>
    </row>
    <row r="6" spans="1:7">
      <c r="A6" s="4" t="s">
        <v>18</v>
      </c>
      <c r="B6" s="5" t="str">
        <f t="shared" si="0"/>
        <v>11</v>
      </c>
      <c r="C6" s="6" t="str">
        <f t="shared" si="1"/>
        <v>US</v>
      </c>
      <c r="E6" s="4" t="str">
        <f>TRIM(Table2678[[#This Row],[Brand Name2]])</f>
        <v>North Face</v>
      </c>
      <c r="F6" s="5" t="str">
        <f>TRIM(Table2678[[#This Row],[Product Name2]])</f>
        <v>Backpack</v>
      </c>
      <c r="G6" s="6" t="str">
        <f t="shared" si="2"/>
        <v>North Face Backpack</v>
      </c>
    </row>
    <row r="7" spans="1:7">
      <c r="A7" s="4" t="s">
        <v>21</v>
      </c>
      <c r="B7" s="5" t="str">
        <f t="shared" si="0"/>
        <v>22</v>
      </c>
      <c r="C7" s="6" t="str">
        <f t="shared" si="1"/>
        <v>US</v>
      </c>
      <c r="E7" s="4" t="str">
        <f>TRIM(Table2678[[#This Row],[Brand Name2]])</f>
        <v>Sony</v>
      </c>
      <c r="F7" s="5" t="str">
        <f>TRIM(Table2678[[#This Row],[Product Name2]])</f>
        <v>Headphones</v>
      </c>
      <c r="G7" s="6" t="str">
        <f t="shared" si="2"/>
        <v>Sony Headphones</v>
      </c>
    </row>
    <row r="8" spans="1:7">
      <c r="A8" s="4" t="s">
        <v>24</v>
      </c>
      <c r="B8" s="5" t="str">
        <f t="shared" si="0"/>
        <v>07</v>
      </c>
      <c r="C8" s="6" t="str">
        <f t="shared" si="1"/>
        <v>UK</v>
      </c>
      <c r="E8" s="4" t="str">
        <f>TRIM(Table2678[[#This Row],[Brand Name2]])</f>
        <v>Adidas</v>
      </c>
      <c r="F8" s="5" t="str">
        <f>TRIM(Table2678[[#This Row],[Product Name2]])</f>
        <v>T-Shirt</v>
      </c>
      <c r="G8" s="6" t="str">
        <f t="shared" si="2"/>
        <v>Adidas T-Shirt</v>
      </c>
    </row>
    <row r="9" spans="1:7">
      <c r="A9" s="4" t="s">
        <v>28</v>
      </c>
      <c r="B9" s="5" t="str">
        <f t="shared" si="0"/>
        <v>19</v>
      </c>
      <c r="C9" s="6" t="str">
        <f t="shared" si="1"/>
        <v>UK</v>
      </c>
      <c r="E9" s="4" t="str">
        <f>TRIM(Table2678[[#This Row],[Brand Name2]])</f>
        <v>Ninja</v>
      </c>
      <c r="F9" s="5" t="str">
        <f>TRIM(Table2678[[#This Row],[Product Name2]])</f>
        <v>Blender</v>
      </c>
      <c r="G9" s="6" t="str">
        <f t="shared" si="2"/>
        <v>Ninja Blender</v>
      </c>
    </row>
    <row r="10" spans="1:7">
      <c r="A10" s="4" t="s">
        <v>31</v>
      </c>
      <c r="B10" s="5" t="str">
        <f t="shared" si="0"/>
        <v>23</v>
      </c>
      <c r="C10" s="6" t="str">
        <f t="shared" si="1"/>
        <v>UK</v>
      </c>
      <c r="E10" s="4" t="str">
        <f>TRIM(Table2678[[#This Row],[Brand Name2]])</f>
        <v>Apple</v>
      </c>
      <c r="F10" s="5" t="str">
        <f>TRIM(Table2678[[#This Row],[Product Name2]])</f>
        <v>Tablet</v>
      </c>
      <c r="G10" s="6" t="str">
        <f t="shared" si="2"/>
        <v>Apple Tablet</v>
      </c>
    </row>
    <row r="11" spans="1:7">
      <c r="A11" s="4" t="s">
        <v>34</v>
      </c>
      <c r="B11" s="5" t="str">
        <f t="shared" si="0"/>
        <v>05</v>
      </c>
      <c r="C11" s="6" t="str">
        <f t="shared" si="1"/>
        <v>UK</v>
      </c>
      <c r="E11" s="4" t="str">
        <f>TRIM(Table2678[[#This Row],[Brand Name2]])</f>
        <v>Timberland</v>
      </c>
      <c r="F11" s="5" t="str">
        <f>TRIM(Table2678[[#This Row],[Product Name2]])</f>
        <v>Hiking Boots</v>
      </c>
      <c r="G11" s="6" t="str">
        <f t="shared" si="2"/>
        <v>Timberland Hiking Boots</v>
      </c>
    </row>
    <row r="12" spans="1:7">
      <c r="A12" s="4" t="s">
        <v>37</v>
      </c>
      <c r="B12" s="5" t="str">
        <f t="shared" si="0"/>
        <v>14</v>
      </c>
      <c r="C12" s="6" t="str">
        <f t="shared" si="1"/>
        <v>UK</v>
      </c>
      <c r="E12" s="4" t="str">
        <f>TRIM(Table2678[[#This Row],[Brand Name2]])</f>
        <v>Hp</v>
      </c>
      <c r="F12" s="5" t="str">
        <f>TRIM(Table2678[[#This Row],[Product Name2]])</f>
        <v>Laptop</v>
      </c>
      <c r="G12" s="6" t="str">
        <f t="shared" si="2"/>
        <v>Hp Laptop</v>
      </c>
    </row>
    <row r="13" spans="1:7">
      <c r="A13" s="4" t="s">
        <v>41</v>
      </c>
      <c r="B13" s="5" t="str">
        <f t="shared" si="0"/>
        <v>17</v>
      </c>
      <c r="C13" s="6" t="str">
        <f t="shared" si="1"/>
        <v>IN</v>
      </c>
      <c r="E13" s="4" t="str">
        <f>TRIM(Table2678[[#This Row],[Brand Name2]])</f>
        <v>Adidas</v>
      </c>
      <c r="F13" s="5" t="str">
        <f>TRIM(Table2678[[#This Row],[Product Name2]])</f>
        <v>Sneakers</v>
      </c>
      <c r="G13" s="6" t="str">
        <f t="shared" si="2"/>
        <v>Adidas Sneakers</v>
      </c>
    </row>
    <row r="14" spans="1:7">
      <c r="A14" s="4" t="s">
        <v>44</v>
      </c>
      <c r="B14" s="5" t="str">
        <f t="shared" si="0"/>
        <v>25</v>
      </c>
      <c r="C14" s="6" t="str">
        <f t="shared" si="1"/>
        <v>AU</v>
      </c>
      <c r="E14" s="4" t="str">
        <f>TRIM(Table2678[[#This Row],[Brand Name2]])</f>
        <v>Nespresso</v>
      </c>
      <c r="F14" s="5" t="str">
        <f>TRIM(Table2678[[#This Row],[Product Name2]])</f>
        <v>Coffee Maker</v>
      </c>
      <c r="G14" s="6" t="str">
        <f t="shared" si="2"/>
        <v>Nespresso Coffee Maker</v>
      </c>
    </row>
    <row r="15" spans="1:7">
      <c r="A15" s="4" t="s">
        <v>45</v>
      </c>
      <c r="B15" s="5" t="str">
        <f t="shared" si="0"/>
        <v>08</v>
      </c>
      <c r="C15" s="6" t="str">
        <f t="shared" si="1"/>
        <v>DE</v>
      </c>
      <c r="E15" s="4" t="str">
        <f>TRIM(Table2678[[#This Row],[Brand Name2]])</f>
        <v>Fitbit</v>
      </c>
      <c r="F15" s="5" t="str">
        <f>TRIM(Table2678[[#This Row],[Product Name2]])</f>
        <v>Smartwatch</v>
      </c>
      <c r="G15" s="6" t="str">
        <f t="shared" si="2"/>
        <v>Fitbit Smartwatch</v>
      </c>
    </row>
    <row r="16" spans="1:7">
      <c r="A16" s="4" t="s">
        <v>47</v>
      </c>
      <c r="B16" s="5" t="str">
        <f t="shared" si="0"/>
        <v>18</v>
      </c>
      <c r="C16" s="6" t="str">
        <f t="shared" si="1"/>
        <v>CA</v>
      </c>
      <c r="E16" s="4" t="str">
        <f>TRIM(Table2678[[#This Row],[Brand Name2]])</f>
        <v>Bose</v>
      </c>
      <c r="F16" s="5" t="str">
        <f>TRIM(Table2678[[#This Row],[Product Name2]])</f>
        <v>Headphones</v>
      </c>
      <c r="G16" s="6" t="str">
        <f t="shared" si="2"/>
        <v>Bose Headphones</v>
      </c>
    </row>
    <row r="17" spans="1:7">
      <c r="A17" s="4" t="s">
        <v>50</v>
      </c>
      <c r="B17" s="5" t="str">
        <f t="shared" si="0"/>
        <v>16</v>
      </c>
      <c r="C17" s="6" t="str">
        <f t="shared" si="1"/>
        <v>ES</v>
      </c>
      <c r="E17" s="4" t="str">
        <f>TRIM(Table2678[[#This Row],[Brand Name2]])</f>
        <v>Samsonite</v>
      </c>
      <c r="F17" s="5" t="str">
        <f>TRIM(Table2678[[#This Row],[Product Name2]])</f>
        <v>Laptop Bag</v>
      </c>
      <c r="G17" s="6" t="str">
        <f t="shared" si="2"/>
        <v>Samsonite Laptop Bag</v>
      </c>
    </row>
    <row r="18" spans="1:7">
      <c r="A18" s="4" t="s">
        <v>53</v>
      </c>
      <c r="B18" s="5" t="str">
        <f t="shared" si="0"/>
        <v>21</v>
      </c>
      <c r="C18" s="6" t="str">
        <f t="shared" si="1"/>
        <v>CA</v>
      </c>
      <c r="E18" s="4" t="str">
        <f>TRIM(Table2678[[#This Row],[Brand Name2]])</f>
        <v>Huawei</v>
      </c>
      <c r="F18" s="5" t="str">
        <f>TRIM(Table2678[[#This Row],[Product Name2]])</f>
        <v>Smartwatch</v>
      </c>
      <c r="G18" s="6" t="str">
        <f t="shared" si="2"/>
        <v>Huawei Smartwatch</v>
      </c>
    </row>
    <row r="19" spans="1:7">
      <c r="A19" s="4" t="s">
        <v>57</v>
      </c>
      <c r="B19" s="5" t="str">
        <f t="shared" si="0"/>
        <v>20</v>
      </c>
      <c r="C19" s="6" t="str">
        <f t="shared" si="1"/>
        <v>CN</v>
      </c>
      <c r="E19" s="4" t="str">
        <f>TRIM(Table2678[[#This Row],[Brand Name2]])</f>
        <v>Asus</v>
      </c>
      <c r="F19" s="5" t="str">
        <f>TRIM(Table2678[[#This Row],[Product Name2]])</f>
        <v>Laptop</v>
      </c>
      <c r="G19" s="6" t="str">
        <f t="shared" si="2"/>
        <v>Asus Laptop</v>
      </c>
    </row>
    <row r="20" spans="1:7">
      <c r="A20" s="4" t="s">
        <v>59</v>
      </c>
      <c r="B20" s="5" t="str">
        <f t="shared" si="0"/>
        <v>27</v>
      </c>
      <c r="C20" s="6" t="str">
        <f t="shared" si="1"/>
        <v>IT</v>
      </c>
      <c r="E20" s="4" t="str">
        <f>TRIM(Table2678[[#This Row],[Brand Name2]])</f>
        <v>Oakley</v>
      </c>
      <c r="F20" s="5" t="str">
        <f>TRIM(Table2678[[#This Row],[Product Name2]])</f>
        <v>Sunglasses</v>
      </c>
      <c r="G20" s="6" t="str">
        <f t="shared" si="2"/>
        <v>Oakley Sunglasses</v>
      </c>
    </row>
    <row r="21" spans="1:7">
      <c r="A21" s="4" t="s">
        <v>61</v>
      </c>
      <c r="B21" s="5" t="str">
        <f t="shared" si="0"/>
        <v>01</v>
      </c>
      <c r="C21" s="6" t="str">
        <f t="shared" si="1"/>
        <v>UK</v>
      </c>
      <c r="E21" s="4" t="str">
        <f>TRIM(Table2678[[#This Row],[Brand Name2]])</f>
        <v>Coleman</v>
      </c>
      <c r="F21" s="5" t="str">
        <f>TRIM(Table2678[[#This Row],[Product Name2]])</f>
        <v>Camping Tent</v>
      </c>
      <c r="G21" s="6" t="str">
        <f t="shared" si="2"/>
        <v>Coleman Camping Tent</v>
      </c>
    </row>
    <row r="22" spans="1:7">
      <c r="A22" s="4" t="s">
        <v>64</v>
      </c>
      <c r="B22" s="5" t="str">
        <f t="shared" si="0"/>
        <v>14</v>
      </c>
      <c r="C22" s="6" t="str">
        <f t="shared" si="1"/>
        <v>US</v>
      </c>
      <c r="E22" s="4" t="str">
        <f>TRIM(Table2678[[#This Row],[Brand Name2]])</f>
        <v>Nikon</v>
      </c>
      <c r="F22" s="5" t="str">
        <f>TRIM(Table2678[[#This Row],[Product Name2]])</f>
        <v>Camera</v>
      </c>
      <c r="G22" s="6" t="str">
        <f t="shared" si="2"/>
        <v>Nikon Camera</v>
      </c>
    </row>
    <row r="23" spans="1:7">
      <c r="A23" s="4" t="s">
        <v>67</v>
      </c>
      <c r="B23" s="5" t="str">
        <f t="shared" si="0"/>
        <v>14</v>
      </c>
      <c r="C23" s="6" t="str">
        <f t="shared" si="1"/>
        <v>RU</v>
      </c>
      <c r="E23" s="4" t="str">
        <f>TRIM(Table2678[[#This Row],[Brand Name2]])</f>
        <v>Panasonic</v>
      </c>
      <c r="F23" s="5" t="str">
        <f>TRIM(Table2678[[#This Row],[Product Name2]])</f>
        <v>Microwave</v>
      </c>
      <c r="G23" s="6" t="str">
        <f t="shared" si="2"/>
        <v>Panasonic Microwave</v>
      </c>
    </row>
    <row r="24" spans="1:7">
      <c r="A24" s="4" t="s">
        <v>70</v>
      </c>
      <c r="B24" s="5" t="str">
        <f t="shared" si="0"/>
        <v>09</v>
      </c>
      <c r="C24" s="6" t="str">
        <f t="shared" si="1"/>
        <v>CA</v>
      </c>
      <c r="E24" s="4" t="str">
        <f>TRIM(Table2678[[#This Row],[Brand Name2]])</f>
        <v>Xiaomi</v>
      </c>
      <c r="F24" s="5" t="str">
        <f>TRIM(Table2678[[#This Row],[Product Name2]])</f>
        <v>Fitness Tracker</v>
      </c>
      <c r="G24" s="6" t="str">
        <f t="shared" si="2"/>
        <v>Xiaomi Fitness Tracker</v>
      </c>
    </row>
    <row r="25" spans="1:7">
      <c r="A25" s="4" t="s">
        <v>73</v>
      </c>
      <c r="B25" s="5" t="str">
        <f t="shared" si="0"/>
        <v>19</v>
      </c>
      <c r="C25" s="6" t="str">
        <f t="shared" si="1"/>
        <v>BR</v>
      </c>
      <c r="E25" s="4" t="str">
        <f>TRIM(Table2678[[#This Row],[Brand Name2]])</f>
        <v>Google</v>
      </c>
      <c r="F25" s="5" t="str">
        <f>TRIM(Table2678[[#This Row],[Product Name2]])</f>
        <v>Smartphone</v>
      </c>
      <c r="G25" s="6" t="str">
        <f t="shared" si="2"/>
        <v>Google Smartphone</v>
      </c>
    </row>
    <row r="26" spans="1:7">
      <c r="A26" s="4" t="s">
        <v>76</v>
      </c>
      <c r="B26" s="5" t="str">
        <f t="shared" si="0"/>
        <v>29</v>
      </c>
      <c r="C26" s="6" t="str">
        <f t="shared" si="1"/>
        <v>CA</v>
      </c>
      <c r="E26" s="4" t="str">
        <f>TRIM(Table2678[[#This Row],[Brand Name2]])</f>
        <v>Ray-Ban</v>
      </c>
      <c r="F26" s="5" t="str">
        <f>TRIM(Table2678[[#This Row],[Product Name2]])</f>
        <v>Sunglasses</v>
      </c>
      <c r="G26" s="6" t="str">
        <f t="shared" si="2"/>
        <v>Ray-Ban Sunglasses</v>
      </c>
    </row>
    <row r="27" spans="1:7">
      <c r="A27" s="4" t="s">
        <v>79</v>
      </c>
      <c r="B27" s="5" t="str">
        <f t="shared" si="0"/>
        <v>03</v>
      </c>
      <c r="C27" s="6" t="str">
        <f t="shared" si="1"/>
        <v>CA</v>
      </c>
      <c r="E27" s="4" t="str">
        <f>TRIM(Table2678[[#This Row],[Brand Name2]])</f>
        <v>Vitamix</v>
      </c>
      <c r="F27" s="5" t="str">
        <f>TRIM(Table2678[[#This Row],[Product Name2]])</f>
        <v>Blender</v>
      </c>
      <c r="G27" s="6" t="str">
        <f t="shared" si="2"/>
        <v>Vitamix Blender</v>
      </c>
    </row>
    <row r="28" spans="1:7">
      <c r="A28" s="4" t="s">
        <v>81</v>
      </c>
      <c r="B28" s="5" t="str">
        <f t="shared" si="0"/>
        <v>11</v>
      </c>
      <c r="C28" s="6" t="str">
        <f t="shared" si="1"/>
        <v>CA</v>
      </c>
      <c r="E28" s="4" t="str">
        <f>TRIM(Table2678[[#This Row],[Brand Name2]])</f>
        <v>Zara</v>
      </c>
      <c r="F28" s="5" t="str">
        <f>TRIM(Table2678[[#This Row],[Product Name2]])</f>
        <v>Dress</v>
      </c>
      <c r="G28" s="6" t="str">
        <f t="shared" si="2"/>
        <v>Zara Dress</v>
      </c>
    </row>
    <row r="29" spans="1:7">
      <c r="A29" s="4" t="s">
        <v>83</v>
      </c>
      <c r="B29" s="5" t="str">
        <f t="shared" si="0"/>
        <v>07</v>
      </c>
      <c r="C29" s="6" t="str">
        <f t="shared" si="1"/>
        <v>CA</v>
      </c>
      <c r="E29" s="4" t="str">
        <f>TRIM(Table2678[[#This Row],[Brand Name2]])</f>
        <v>Hamilton</v>
      </c>
      <c r="F29" s="5" t="str">
        <f>TRIM(Table2678[[#This Row],[Product Name2]])</f>
        <v>Toaster</v>
      </c>
      <c r="G29" s="6" t="str">
        <f t="shared" si="2"/>
        <v>Hamilton Toaster</v>
      </c>
    </row>
    <row r="30" spans="1:7">
      <c r="A30" s="4" t="s">
        <v>86</v>
      </c>
      <c r="B30" s="5" t="str">
        <f t="shared" si="0"/>
        <v>13</v>
      </c>
      <c r="C30" s="6" t="str">
        <f t="shared" si="1"/>
        <v>CA</v>
      </c>
      <c r="E30" s="4" t="str">
        <f>TRIM(Table2678[[#This Row],[Brand Name2]])</f>
        <v>Garmin</v>
      </c>
      <c r="F30" s="5" t="str">
        <f>TRIM(Table2678[[#This Row],[Product Name2]])</f>
        <v>Fitness Tracker</v>
      </c>
      <c r="G30" s="6" t="str">
        <f t="shared" si="2"/>
        <v>Garmin Fitness Tracker</v>
      </c>
    </row>
    <row r="31" spans="1:7">
      <c r="A31" s="4" t="s">
        <v>89</v>
      </c>
      <c r="B31" s="5" t="str">
        <f t="shared" si="0"/>
        <v>24</v>
      </c>
      <c r="C31" s="6" t="str">
        <f t="shared" si="1"/>
        <v>CA</v>
      </c>
      <c r="E31" s="4" t="str">
        <f>TRIM(Table2678[[#This Row],[Brand Name2]])</f>
        <v>Levi'S</v>
      </c>
      <c r="F31" s="5" t="str">
        <f>TRIM(Table2678[[#This Row],[Product Name2]])</f>
        <v>Jeans</v>
      </c>
      <c r="G31" s="6" t="str">
        <f t="shared" si="2"/>
        <v>Levi'S Jeans</v>
      </c>
    </row>
    <row r="32" spans="1:7">
      <c r="A32" s="4" t="s">
        <v>91</v>
      </c>
      <c r="B32" s="5" t="str">
        <f t="shared" si="0"/>
        <v>02</v>
      </c>
      <c r="C32" s="6" t="str">
        <f t="shared" si="1"/>
        <v>CA</v>
      </c>
      <c r="E32" s="4" t="str">
        <f>TRIM(Table2678[[#This Row],[Brand Name2]])</f>
        <v>Casio</v>
      </c>
      <c r="F32" s="5" t="str">
        <f>TRIM(Table2678[[#This Row],[Product Name2]])</f>
        <v>Watch</v>
      </c>
      <c r="G32" s="6" t="str">
        <f t="shared" si="2"/>
        <v>Casio Watch</v>
      </c>
    </row>
    <row r="33" spans="1:7">
      <c r="A33" s="28" t="s">
        <v>94</v>
      </c>
      <c r="B33" s="29" t="str">
        <f t="shared" si="0"/>
        <v>09</v>
      </c>
      <c r="C33" s="30" t="str">
        <f t="shared" si="1"/>
        <v>FR</v>
      </c>
      <c r="E33" s="28" t="e">
        <f>TRIM(Table2678[[#This Row],[Brand Name2]])</f>
        <v>#VALUE!</v>
      </c>
      <c r="F33" s="29" t="e">
        <f>TRIM(Table2678[[#This Row],[Product Name2]])</f>
        <v>#VALUE!</v>
      </c>
      <c r="G33" s="30" t="e">
        <f t="shared" si="2"/>
        <v>#VALUE!</v>
      </c>
    </row>
  </sheetData>
  <mergeCells count="2">
    <mergeCell ref="A1:C1"/>
    <mergeCell ref="E1:G1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2"/>
  <sheetViews>
    <sheetView workbookViewId="0">
      <selection activeCell="G23" sqref="G23"/>
    </sheetView>
  </sheetViews>
  <sheetFormatPr defaultColWidth="9" defaultRowHeight="14.4" outlineLevelCol="5"/>
  <cols>
    <col min="1" max="1" width="10.7777777777778" customWidth="1"/>
    <col min="2" max="2" width="13.6666666666667" customWidth="1"/>
    <col min="3" max="3" width="11.7777777777778" customWidth="1"/>
    <col min="4" max="4" width="8.33333333333333" customWidth="1"/>
    <col min="5" max="5" width="8.44444444444444" customWidth="1"/>
    <col min="6" max="6" width="1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>
        <v>1000</v>
      </c>
      <c r="E2" s="5">
        <v>30</v>
      </c>
      <c r="F2" s="16" t="s">
        <v>9</v>
      </c>
    </row>
    <row r="3" hidden="1" spans="1:6">
      <c r="A3" s="7" t="s">
        <v>10</v>
      </c>
      <c r="B3" s="8" t="s">
        <v>11</v>
      </c>
      <c r="C3" s="8" t="s">
        <v>12</v>
      </c>
      <c r="D3" s="8">
        <v>80</v>
      </c>
      <c r="E3" s="8">
        <v>15</v>
      </c>
      <c r="F3" s="9" t="s">
        <v>13</v>
      </c>
    </row>
    <row r="4" hidden="1" spans="1:6">
      <c r="A4" s="4" t="s">
        <v>14</v>
      </c>
      <c r="B4" s="5" t="s">
        <v>15</v>
      </c>
      <c r="C4" s="5" t="s">
        <v>16</v>
      </c>
      <c r="D4" s="5">
        <v>130</v>
      </c>
      <c r="E4" s="5">
        <v>40</v>
      </c>
      <c r="F4" s="6" t="s">
        <v>17</v>
      </c>
    </row>
    <row r="5" spans="1:6">
      <c r="A5" s="7" t="s">
        <v>18</v>
      </c>
      <c r="B5" s="8" t="s">
        <v>19</v>
      </c>
      <c r="C5" s="8" t="s">
        <v>20</v>
      </c>
      <c r="D5" s="8">
        <v>900</v>
      </c>
      <c r="E5" s="8">
        <v>25</v>
      </c>
      <c r="F5" s="16" t="s">
        <v>9</v>
      </c>
    </row>
    <row r="6" hidden="1" spans="1:6">
      <c r="A6" s="4" t="s">
        <v>21</v>
      </c>
      <c r="B6" s="5" t="s">
        <v>22</v>
      </c>
      <c r="C6" s="5" t="s">
        <v>23</v>
      </c>
      <c r="D6" s="5">
        <v>70</v>
      </c>
      <c r="E6" s="5">
        <v>20</v>
      </c>
      <c r="F6" s="6" t="s">
        <v>13</v>
      </c>
    </row>
    <row r="7" spans="1:6">
      <c r="A7" s="7" t="s">
        <v>24</v>
      </c>
      <c r="B7" s="8" t="s">
        <v>25</v>
      </c>
      <c r="C7" s="8" t="s">
        <v>26</v>
      </c>
      <c r="D7" s="8">
        <v>298</v>
      </c>
      <c r="E7" s="8">
        <v>45</v>
      </c>
      <c r="F7" s="16" t="s">
        <v>9</v>
      </c>
    </row>
    <row r="8" hidden="1" spans="1:6">
      <c r="A8" s="4" t="s">
        <v>28</v>
      </c>
      <c r="B8" s="5" t="s">
        <v>29</v>
      </c>
      <c r="C8" s="5" t="s">
        <v>30</v>
      </c>
      <c r="D8" s="5">
        <v>30</v>
      </c>
      <c r="E8" s="5">
        <v>5</v>
      </c>
      <c r="F8" s="6" t="s">
        <v>13</v>
      </c>
    </row>
    <row r="9" hidden="1" spans="1:6">
      <c r="A9" s="7" t="s">
        <v>31</v>
      </c>
      <c r="B9" s="8" t="s">
        <v>32</v>
      </c>
      <c r="C9" s="8" t="s">
        <v>33</v>
      </c>
      <c r="D9" s="8">
        <v>90</v>
      </c>
      <c r="E9" s="8">
        <v>35</v>
      </c>
      <c r="F9" s="9" t="s">
        <v>17</v>
      </c>
    </row>
    <row r="10" spans="1:6">
      <c r="A10" s="4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16" t="s">
        <v>9</v>
      </c>
    </row>
    <row r="11" hidden="1" spans="1:6">
      <c r="A11" s="7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9" t="s">
        <v>40</v>
      </c>
    </row>
    <row r="12" spans="1:6">
      <c r="A12" s="4" t="s">
        <v>41</v>
      </c>
      <c r="B12" s="5" t="s">
        <v>42</v>
      </c>
      <c r="C12" s="5" t="s">
        <v>43</v>
      </c>
      <c r="D12" s="5">
        <v>950</v>
      </c>
      <c r="E12" s="5">
        <v>25</v>
      </c>
      <c r="F12" s="16" t="s">
        <v>9</v>
      </c>
    </row>
    <row r="13" spans="1:6">
      <c r="A13" s="7" t="s">
        <v>44</v>
      </c>
      <c r="B13" s="8" t="s">
        <v>11</v>
      </c>
      <c r="C13" s="8" t="s">
        <v>30</v>
      </c>
      <c r="D13" s="8">
        <v>90</v>
      </c>
      <c r="E13" s="8">
        <v>40</v>
      </c>
      <c r="F13" s="17" t="s">
        <v>9</v>
      </c>
    </row>
    <row r="14" hidden="1" spans="1:6">
      <c r="A14" s="4" t="s">
        <v>45</v>
      </c>
      <c r="B14" s="5" t="s">
        <v>15</v>
      </c>
      <c r="C14" s="5" t="s">
        <v>46</v>
      </c>
      <c r="D14" s="5">
        <v>120</v>
      </c>
      <c r="E14" s="5">
        <v>35</v>
      </c>
      <c r="F14" s="6" t="s">
        <v>17</v>
      </c>
    </row>
    <row r="15" spans="1:6">
      <c r="A15" s="7" t="s">
        <v>47</v>
      </c>
      <c r="B15" s="8" t="s">
        <v>48</v>
      </c>
      <c r="C15" s="8" t="s">
        <v>49</v>
      </c>
      <c r="D15" s="8">
        <v>150</v>
      </c>
      <c r="E15" s="8">
        <v>15</v>
      </c>
      <c r="F15" s="16" t="s">
        <v>9</v>
      </c>
    </row>
    <row r="16" spans="1:6">
      <c r="A16" s="4" t="s">
        <v>50</v>
      </c>
      <c r="B16" s="5" t="s">
        <v>51</v>
      </c>
      <c r="C16" s="5" t="s">
        <v>52</v>
      </c>
      <c r="D16" s="5">
        <v>250</v>
      </c>
      <c r="E16" s="5">
        <v>20</v>
      </c>
      <c r="F16" s="16" t="s">
        <v>9</v>
      </c>
    </row>
    <row r="17" hidden="1" spans="1:6">
      <c r="A17" s="7" t="s">
        <v>53</v>
      </c>
      <c r="B17" s="8" t="s">
        <v>54</v>
      </c>
      <c r="C17" s="8" t="s">
        <v>55</v>
      </c>
      <c r="D17" s="8">
        <v>50</v>
      </c>
      <c r="E17" s="8">
        <v>35</v>
      </c>
      <c r="F17" s="9" t="s">
        <v>56</v>
      </c>
    </row>
    <row r="18" spans="1:6">
      <c r="A18" s="4" t="s">
        <v>57</v>
      </c>
      <c r="B18" s="5" t="s">
        <v>48</v>
      </c>
      <c r="C18" s="5" t="s">
        <v>58</v>
      </c>
      <c r="D18" s="5">
        <v>160</v>
      </c>
      <c r="E18" s="5">
        <v>15</v>
      </c>
      <c r="F18" s="16" t="s">
        <v>9</v>
      </c>
    </row>
    <row r="19" spans="1:6">
      <c r="A19" s="7" t="s">
        <v>59</v>
      </c>
      <c r="B19" s="8" t="s">
        <v>7</v>
      </c>
      <c r="C19" s="8" t="s">
        <v>60</v>
      </c>
      <c r="D19" s="8">
        <v>980</v>
      </c>
      <c r="E19" s="8">
        <v>10</v>
      </c>
      <c r="F19" s="16" t="s">
        <v>9</v>
      </c>
    </row>
    <row r="20" hidden="1" spans="1:6">
      <c r="A20" s="4" t="s">
        <v>61</v>
      </c>
      <c r="B20" s="5" t="s">
        <v>62</v>
      </c>
      <c r="C20" s="5" t="s">
        <v>63</v>
      </c>
      <c r="D20" s="5">
        <v>150</v>
      </c>
      <c r="E20" s="5">
        <v>15</v>
      </c>
      <c r="F20" s="6" t="s">
        <v>13</v>
      </c>
    </row>
    <row r="21" hidden="1" spans="1:6">
      <c r="A21" s="7" t="s">
        <v>64</v>
      </c>
      <c r="B21" s="8" t="s">
        <v>65</v>
      </c>
      <c r="C21" s="8" t="s">
        <v>66</v>
      </c>
      <c r="D21" s="8">
        <v>130</v>
      </c>
      <c r="E21" s="8">
        <v>10</v>
      </c>
      <c r="F21" s="9" t="s">
        <v>40</v>
      </c>
    </row>
    <row r="22" spans="1:6">
      <c r="A22" s="4" t="s">
        <v>67</v>
      </c>
      <c r="B22" s="5" t="s">
        <v>68</v>
      </c>
      <c r="C22" s="5" t="s">
        <v>69</v>
      </c>
      <c r="D22" s="5">
        <v>700</v>
      </c>
      <c r="E22" s="5">
        <v>50</v>
      </c>
      <c r="F22" s="16" t="s">
        <v>9</v>
      </c>
    </row>
    <row r="23" hidden="1" spans="1:6">
      <c r="A23" s="7" t="s">
        <v>70</v>
      </c>
      <c r="B23" s="8" t="s">
        <v>71</v>
      </c>
      <c r="C23" s="8" t="s">
        <v>72</v>
      </c>
      <c r="D23" s="8">
        <v>80</v>
      </c>
      <c r="E23" s="8">
        <v>20</v>
      </c>
      <c r="F23" s="9" t="s">
        <v>17</v>
      </c>
    </row>
    <row r="24" spans="1:6">
      <c r="A24" s="4" t="s">
        <v>73</v>
      </c>
      <c r="B24" s="5" t="s">
        <v>74</v>
      </c>
      <c r="C24" s="5" t="s">
        <v>75</v>
      </c>
      <c r="D24" s="5">
        <v>150</v>
      </c>
      <c r="E24" s="5">
        <v>30</v>
      </c>
      <c r="F24" s="18" t="s">
        <v>9</v>
      </c>
    </row>
    <row r="25" spans="1:6">
      <c r="A25" s="4" t="s">
        <v>76</v>
      </c>
      <c r="B25" s="5" t="s">
        <v>77</v>
      </c>
      <c r="C25" s="5" t="s">
        <v>78</v>
      </c>
      <c r="D25" s="5">
        <v>800</v>
      </c>
      <c r="E25" s="5">
        <v>45</v>
      </c>
      <c r="F25" s="16" t="s">
        <v>9</v>
      </c>
    </row>
    <row r="26" hidden="1" spans="1:6">
      <c r="A26" s="7" t="s">
        <v>79</v>
      </c>
      <c r="B26" s="8" t="s">
        <v>62</v>
      </c>
      <c r="C26" s="8" t="s">
        <v>80</v>
      </c>
      <c r="D26" s="8">
        <v>274</v>
      </c>
      <c r="E26" s="8">
        <v>25</v>
      </c>
      <c r="F26" s="9" t="s">
        <v>13</v>
      </c>
    </row>
    <row r="27" hidden="1" spans="1:6">
      <c r="A27" s="4" t="s">
        <v>81</v>
      </c>
      <c r="B27" s="5" t="s">
        <v>32</v>
      </c>
      <c r="C27" s="5" t="s">
        <v>82</v>
      </c>
      <c r="D27" s="5">
        <v>400</v>
      </c>
      <c r="E27" s="5">
        <v>40</v>
      </c>
      <c r="F27" s="6" t="s">
        <v>17</v>
      </c>
    </row>
    <row r="28" hidden="1" spans="1:6">
      <c r="A28" s="4" t="s">
        <v>83</v>
      </c>
      <c r="B28" s="5" t="s">
        <v>84</v>
      </c>
      <c r="C28" s="5" t="s">
        <v>85</v>
      </c>
      <c r="D28" s="5">
        <v>60</v>
      </c>
      <c r="E28" s="5">
        <v>30</v>
      </c>
      <c r="F28" s="6" t="s">
        <v>13</v>
      </c>
    </row>
    <row r="29" hidden="1" spans="1:6">
      <c r="A29" s="7" t="s">
        <v>86</v>
      </c>
      <c r="B29" s="8" t="s">
        <v>87</v>
      </c>
      <c r="C29" s="8" t="s">
        <v>88</v>
      </c>
      <c r="D29" s="8">
        <v>40</v>
      </c>
      <c r="E29" s="8">
        <v>10</v>
      </c>
      <c r="F29" s="9" t="s">
        <v>17</v>
      </c>
    </row>
    <row r="30" spans="1:6">
      <c r="A30" s="4" t="s">
        <v>89</v>
      </c>
      <c r="B30" s="5" t="s">
        <v>74</v>
      </c>
      <c r="C30" s="5" t="s">
        <v>90</v>
      </c>
      <c r="D30" s="5">
        <v>130</v>
      </c>
      <c r="E30" s="5">
        <v>5</v>
      </c>
      <c r="F30" s="16" t="s">
        <v>9</v>
      </c>
    </row>
    <row r="31" hidden="1" spans="1:6">
      <c r="A31" s="7" t="s">
        <v>91</v>
      </c>
      <c r="B31" s="8" t="s">
        <v>92</v>
      </c>
      <c r="C31" s="8" t="s">
        <v>93</v>
      </c>
      <c r="D31" s="8">
        <v>50</v>
      </c>
      <c r="E31" s="8">
        <v>50</v>
      </c>
      <c r="F31" s="9" t="s">
        <v>13</v>
      </c>
    </row>
    <row r="32" hidden="1" spans="1:6">
      <c r="A32" s="7" t="s">
        <v>94</v>
      </c>
      <c r="B32" s="8" t="s">
        <v>95</v>
      </c>
      <c r="C32" s="8" t="s">
        <v>96</v>
      </c>
      <c r="D32" s="8">
        <v>100</v>
      </c>
      <c r="E32" s="8">
        <v>20</v>
      </c>
      <c r="F32" s="9" t="s">
        <v>56</v>
      </c>
    </row>
  </sheetData>
  <conditionalFormatting sqref="F2:F30">
    <cfRule type="containsText" dxfId="47" priority="1" operator="between" text="Electronics">
      <formula>NOT(ISERROR(SEARCH("Electronics",F2)))</formula>
    </cfRule>
  </conditionalFormatting>
  <conditionalFormatting sqref="A2:F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{b927e540-0919-4bdf-bb76-c23bb88f1ed9}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27e540-0919-4bdf-bb76-c23bb88f1e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A2:F32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5"/>
  <sheetViews>
    <sheetView topLeftCell="A7" workbookViewId="0">
      <selection activeCell="G23" sqref="G23"/>
    </sheetView>
  </sheetViews>
  <sheetFormatPr defaultColWidth="9" defaultRowHeight="14.4" outlineLevelCol="5"/>
  <cols>
    <col min="1" max="1" width="10.7777777777778" customWidth="1"/>
    <col min="2" max="2" width="13.6666666666667" customWidth="1"/>
    <col min="3" max="3" width="11.7777777777778" customWidth="1"/>
    <col min="4" max="4" width="8.33333333333333" customWidth="1"/>
    <col min="5" max="5" width="8.44444444444444" customWidth="1"/>
    <col min="6" max="6" width="1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>
        <v>1000</v>
      </c>
      <c r="E2" s="5">
        <v>30</v>
      </c>
      <c r="F2" s="6" t="s">
        <v>9</v>
      </c>
    </row>
    <row r="3" spans="1:6">
      <c r="A3" s="7" t="s">
        <v>10</v>
      </c>
      <c r="B3" s="8" t="s">
        <v>11</v>
      </c>
      <c r="C3" s="8" t="s">
        <v>12</v>
      </c>
      <c r="D3" s="8">
        <v>80</v>
      </c>
      <c r="E3" s="8">
        <v>15</v>
      </c>
      <c r="F3" s="9" t="s">
        <v>13</v>
      </c>
    </row>
    <row r="4" spans="1:6">
      <c r="A4" s="4" t="s">
        <v>14</v>
      </c>
      <c r="B4" s="5" t="s">
        <v>15</v>
      </c>
      <c r="C4" s="5" t="s">
        <v>16</v>
      </c>
      <c r="D4" s="5">
        <v>130</v>
      </c>
      <c r="E4" s="5">
        <v>40</v>
      </c>
      <c r="F4" s="6" t="s">
        <v>17</v>
      </c>
    </row>
    <row r="5" spans="1:6">
      <c r="A5" s="7" t="s">
        <v>18</v>
      </c>
      <c r="B5" s="8" t="s">
        <v>19</v>
      </c>
      <c r="C5" s="8" t="s">
        <v>20</v>
      </c>
      <c r="D5" s="8">
        <v>900</v>
      </c>
      <c r="E5" s="8">
        <v>25</v>
      </c>
      <c r="F5" s="9" t="s">
        <v>9</v>
      </c>
    </row>
    <row r="6" spans="1:6">
      <c r="A6" s="4" t="s">
        <v>21</v>
      </c>
      <c r="B6" s="5" t="s">
        <v>22</v>
      </c>
      <c r="C6" s="5" t="s">
        <v>23</v>
      </c>
      <c r="D6" s="5">
        <v>70</v>
      </c>
      <c r="E6" s="5">
        <v>20</v>
      </c>
      <c r="F6" s="10"/>
    </row>
    <row r="7" spans="1:6">
      <c r="A7" s="7" t="s">
        <v>24</v>
      </c>
      <c r="B7" s="8" t="s">
        <v>25</v>
      </c>
      <c r="C7" s="8" t="s">
        <v>26</v>
      </c>
      <c r="D7" s="11"/>
      <c r="E7" s="8">
        <v>45</v>
      </c>
      <c r="F7" s="9" t="s">
        <v>108</v>
      </c>
    </row>
    <row r="8" spans="1:6">
      <c r="A8" s="4" t="s">
        <v>28</v>
      </c>
      <c r="B8" s="5" t="s">
        <v>29</v>
      </c>
      <c r="C8" s="5" t="s">
        <v>30</v>
      </c>
      <c r="D8" s="5">
        <v>30</v>
      </c>
      <c r="E8" s="5">
        <v>5</v>
      </c>
      <c r="F8" s="6" t="s">
        <v>13</v>
      </c>
    </row>
    <row r="9" spans="1:6">
      <c r="A9" s="7" t="s">
        <v>31</v>
      </c>
      <c r="B9" s="8" t="s">
        <v>32</v>
      </c>
      <c r="C9" s="8" t="s">
        <v>33</v>
      </c>
      <c r="D9" s="8">
        <v>90</v>
      </c>
      <c r="E9" s="8">
        <v>35</v>
      </c>
      <c r="F9" s="9" t="s">
        <v>17</v>
      </c>
    </row>
    <row r="10" spans="1:6">
      <c r="A10" s="4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6" t="s">
        <v>9</v>
      </c>
    </row>
    <row r="11" spans="1:6">
      <c r="A11" s="7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9" t="s">
        <v>40</v>
      </c>
    </row>
    <row r="12" spans="1:6">
      <c r="A12" s="4" t="s">
        <v>41</v>
      </c>
      <c r="B12" s="5" t="s">
        <v>42</v>
      </c>
      <c r="C12" s="5" t="s">
        <v>43</v>
      </c>
      <c r="D12" s="5">
        <v>950</v>
      </c>
      <c r="E12" s="5">
        <v>25</v>
      </c>
      <c r="F12" s="6" t="s">
        <v>9</v>
      </c>
    </row>
    <row r="13" spans="1:6">
      <c r="A13" s="7" t="s">
        <v>44</v>
      </c>
      <c r="B13" s="8" t="s">
        <v>11</v>
      </c>
      <c r="C13" s="8" t="s">
        <v>30</v>
      </c>
      <c r="D13" s="8">
        <v>90</v>
      </c>
      <c r="E13" s="8">
        <v>40</v>
      </c>
      <c r="F13" s="12"/>
    </row>
    <row r="14" spans="1:6">
      <c r="A14" s="4" t="s">
        <v>45</v>
      </c>
      <c r="B14" s="5" t="s">
        <v>15</v>
      </c>
      <c r="C14" s="5" t="s">
        <v>46</v>
      </c>
      <c r="D14" s="5">
        <v>120</v>
      </c>
      <c r="E14" s="5">
        <v>35</v>
      </c>
      <c r="F14" s="10"/>
    </row>
    <row r="15" spans="1:6">
      <c r="A15" s="7" t="s">
        <v>47</v>
      </c>
      <c r="B15" s="8" t="s">
        <v>48</v>
      </c>
      <c r="C15" s="8" t="s">
        <v>49</v>
      </c>
      <c r="D15" s="8">
        <v>150</v>
      </c>
      <c r="E15" s="8">
        <v>15</v>
      </c>
      <c r="F15" s="9" t="s">
        <v>27</v>
      </c>
    </row>
    <row r="16" spans="1:6">
      <c r="A16" s="4" t="s">
        <v>50</v>
      </c>
      <c r="B16" s="5" t="s">
        <v>51</v>
      </c>
      <c r="C16" s="5" t="s">
        <v>52</v>
      </c>
      <c r="D16" s="5">
        <v>250</v>
      </c>
      <c r="E16" s="5">
        <v>20</v>
      </c>
      <c r="F16" s="6" t="s">
        <v>27</v>
      </c>
    </row>
    <row r="17" spans="1:6">
      <c r="A17" s="7" t="s">
        <v>53</v>
      </c>
      <c r="B17" s="8" t="s">
        <v>54</v>
      </c>
      <c r="C17" s="8" t="s">
        <v>55</v>
      </c>
      <c r="D17" s="8">
        <v>50</v>
      </c>
      <c r="E17" s="8">
        <v>35</v>
      </c>
      <c r="F17" s="9" t="s">
        <v>56</v>
      </c>
    </row>
    <row r="18" spans="1:6">
      <c r="A18" s="4" t="s">
        <v>57</v>
      </c>
      <c r="B18" s="5" t="s">
        <v>48</v>
      </c>
      <c r="C18" s="5" t="s">
        <v>58</v>
      </c>
      <c r="D18" s="5">
        <v>160</v>
      </c>
      <c r="E18" s="5">
        <v>15</v>
      </c>
      <c r="F18" s="6" t="s">
        <v>27</v>
      </c>
    </row>
    <row r="19" spans="1:6">
      <c r="A19" s="7" t="s">
        <v>59</v>
      </c>
      <c r="B19" s="8" t="s">
        <v>7</v>
      </c>
      <c r="C19" s="8" t="s">
        <v>60</v>
      </c>
      <c r="D19" s="8">
        <v>980</v>
      </c>
      <c r="E19" s="8">
        <v>10</v>
      </c>
      <c r="F19" s="9" t="s">
        <v>9</v>
      </c>
    </row>
    <row r="20" spans="1:6">
      <c r="A20" s="4" t="s">
        <v>61</v>
      </c>
      <c r="B20" s="5" t="s">
        <v>62</v>
      </c>
      <c r="C20" s="5" t="s">
        <v>63</v>
      </c>
      <c r="D20" s="5">
        <v>150</v>
      </c>
      <c r="E20" s="5">
        <v>15</v>
      </c>
      <c r="F20" s="6" t="s">
        <v>13</v>
      </c>
    </row>
    <row r="21" spans="1:6">
      <c r="A21" s="7" t="s">
        <v>64</v>
      </c>
      <c r="B21" s="8" t="s">
        <v>65</v>
      </c>
      <c r="C21" s="8" t="s">
        <v>66</v>
      </c>
      <c r="D21" s="11"/>
      <c r="E21" s="8">
        <v>10</v>
      </c>
      <c r="F21" s="9" t="s">
        <v>40</v>
      </c>
    </row>
    <row r="22" spans="1:6">
      <c r="A22" s="4" t="s">
        <v>67</v>
      </c>
      <c r="B22" s="5" t="s">
        <v>68</v>
      </c>
      <c r="C22" s="5" t="s">
        <v>69</v>
      </c>
      <c r="D22" s="5">
        <v>700</v>
      </c>
      <c r="E22" s="5">
        <v>50</v>
      </c>
      <c r="F22" s="6" t="s">
        <v>9</v>
      </c>
    </row>
    <row r="23" spans="1:6">
      <c r="A23" s="7" t="s">
        <v>70</v>
      </c>
      <c r="B23" s="8" t="s">
        <v>71</v>
      </c>
      <c r="C23" s="8" t="s">
        <v>72</v>
      </c>
      <c r="D23" s="8">
        <v>80</v>
      </c>
      <c r="E23" s="8">
        <v>20</v>
      </c>
      <c r="F23" s="9" t="s">
        <v>17</v>
      </c>
    </row>
    <row r="24" spans="1:6">
      <c r="A24" s="4" t="s">
        <v>73</v>
      </c>
      <c r="B24" s="5" t="s">
        <v>74</v>
      </c>
      <c r="C24" s="5" t="s">
        <v>75</v>
      </c>
      <c r="D24" s="5">
        <v>150</v>
      </c>
      <c r="E24" s="5">
        <v>30</v>
      </c>
      <c r="F24" s="10"/>
    </row>
    <row r="25" spans="1:6">
      <c r="A25" s="7" t="s">
        <v>53</v>
      </c>
      <c r="B25" s="8" t="s">
        <v>54</v>
      </c>
      <c r="C25" s="8" t="s">
        <v>55</v>
      </c>
      <c r="D25" s="8">
        <v>50</v>
      </c>
      <c r="E25" s="8">
        <v>35</v>
      </c>
      <c r="F25" s="9" t="s">
        <v>56</v>
      </c>
    </row>
    <row r="26" spans="1:6">
      <c r="A26" s="4" t="s">
        <v>76</v>
      </c>
      <c r="B26" s="5" t="s">
        <v>77</v>
      </c>
      <c r="C26" s="5" t="s">
        <v>78</v>
      </c>
      <c r="D26" s="5">
        <v>800</v>
      </c>
      <c r="E26" s="5">
        <v>45</v>
      </c>
      <c r="F26" s="6" t="s">
        <v>9</v>
      </c>
    </row>
    <row r="27" spans="1:6">
      <c r="A27" s="7" t="s">
        <v>79</v>
      </c>
      <c r="B27" s="8" t="s">
        <v>62</v>
      </c>
      <c r="C27" s="8" t="s">
        <v>80</v>
      </c>
      <c r="D27" s="11"/>
      <c r="E27" s="8">
        <v>25</v>
      </c>
      <c r="F27" s="9" t="s">
        <v>13</v>
      </c>
    </row>
    <row r="28" spans="1:6">
      <c r="A28" s="4" t="s">
        <v>81</v>
      </c>
      <c r="B28" s="5" t="s">
        <v>32</v>
      </c>
      <c r="C28" s="5" t="s">
        <v>82</v>
      </c>
      <c r="D28" s="5">
        <v>400</v>
      </c>
      <c r="E28" s="5">
        <v>40</v>
      </c>
      <c r="F28" s="6" t="s">
        <v>17</v>
      </c>
    </row>
    <row r="29" spans="1:6">
      <c r="A29" s="7" t="s">
        <v>50</v>
      </c>
      <c r="B29" s="8" t="s">
        <v>51</v>
      </c>
      <c r="C29" s="8" t="s">
        <v>52</v>
      </c>
      <c r="D29" s="8">
        <v>250</v>
      </c>
      <c r="E29" s="8">
        <v>20</v>
      </c>
      <c r="F29" s="9" t="s">
        <v>27</v>
      </c>
    </row>
    <row r="30" spans="1:6">
      <c r="A30" s="4" t="s">
        <v>83</v>
      </c>
      <c r="B30" s="5" t="s">
        <v>84</v>
      </c>
      <c r="C30" s="5" t="s">
        <v>85</v>
      </c>
      <c r="D30" s="5">
        <v>60</v>
      </c>
      <c r="E30" s="5">
        <v>30</v>
      </c>
      <c r="F30" s="6" t="s">
        <v>13</v>
      </c>
    </row>
    <row r="31" spans="1:6">
      <c r="A31" s="7" t="s">
        <v>86</v>
      </c>
      <c r="B31" s="8" t="s">
        <v>87</v>
      </c>
      <c r="C31" s="8" t="s">
        <v>88</v>
      </c>
      <c r="D31" s="8">
        <v>40</v>
      </c>
      <c r="E31" s="8">
        <v>10</v>
      </c>
      <c r="F31" s="9" t="s">
        <v>17</v>
      </c>
    </row>
    <row r="32" spans="1:6">
      <c r="A32" s="4" t="s">
        <v>89</v>
      </c>
      <c r="B32" s="5" t="s">
        <v>74</v>
      </c>
      <c r="C32" s="5" t="s">
        <v>90</v>
      </c>
      <c r="D32" s="5">
        <v>130</v>
      </c>
      <c r="E32" s="5">
        <v>5</v>
      </c>
      <c r="F32" s="6" t="s">
        <v>9</v>
      </c>
    </row>
    <row r="33" spans="1:6">
      <c r="A33" s="7" t="s">
        <v>91</v>
      </c>
      <c r="B33" s="8" t="s">
        <v>92</v>
      </c>
      <c r="C33" s="8" t="s">
        <v>93</v>
      </c>
      <c r="D33" s="8">
        <v>50</v>
      </c>
      <c r="E33" s="8">
        <v>50</v>
      </c>
      <c r="F33" s="9" t="s">
        <v>13</v>
      </c>
    </row>
    <row r="34" spans="1:6">
      <c r="A34" s="4" t="s">
        <v>41</v>
      </c>
      <c r="B34" s="5" t="s">
        <v>42</v>
      </c>
      <c r="C34" s="5" t="s">
        <v>43</v>
      </c>
      <c r="D34" s="5">
        <v>950</v>
      </c>
      <c r="E34" s="5">
        <v>25</v>
      </c>
      <c r="F34" s="6" t="s">
        <v>9</v>
      </c>
    </row>
    <row r="35" spans="1:6">
      <c r="A35" s="13" t="s">
        <v>94</v>
      </c>
      <c r="B35" s="14" t="s">
        <v>95</v>
      </c>
      <c r="C35" s="14" t="s">
        <v>96</v>
      </c>
      <c r="D35" s="14">
        <v>100</v>
      </c>
      <c r="E35" s="14">
        <v>20</v>
      </c>
      <c r="F35" s="15" t="s">
        <v>56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"/>
  <sheetViews>
    <sheetView workbookViewId="0">
      <selection activeCell="G23" sqref="G23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rU4Ats/NcSLsNrzqm1opEAAAAAAIAAAAAABBmAAAAAQAAIAAAAMgoBNRj2IAOAJE5UoSQJT1+L5f+ul3obdzNXDF4sOraAAAAAA6AAAAAAgAAIAAAAO0IT6Yazxs0yYlTYnPuWw91XUodJlVcA+6h2tHfYtcsUAAAAEn1BuesBF04ZTQ9R+6eZYrKOzZdwrzTSwhsbDG1n1cP7DhnEeE2HmKrgCMW8Yg3Vw2ESh7oqf3znrBcOrrB8seeYZ26k86MfY17J0dS902aQAAAAIxuk/o1bZElrPHxWJ2AOBpSiMhnfz6DtUdXBxNG1HX/aq6bleMxtj7EG7kKZwPnMiNR4CF4GXNR/XFMPvQpbCg=</DataMashup>
</file>

<file path=customXml/itemProps1.xml><?xml version="1.0" encoding="utf-8"?>
<ds:datastoreItem xmlns:ds="http://schemas.openxmlformats.org/officeDocument/2006/customXml" ds:itemID="{3F9857CC-0E7F-4DBE-81B1-1C9FA177A6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Raw Data</vt:lpstr>
      <vt:lpstr>Handling missing values</vt:lpstr>
      <vt:lpstr>Remove duplicate rows</vt:lpstr>
      <vt:lpstr>Sheet11</vt:lpstr>
      <vt:lpstr>CLEANED DATASET</vt:lpstr>
      <vt:lpstr>Corrected Text Formats</vt:lpstr>
      <vt:lpstr>Sheet2</vt:lpstr>
      <vt:lpstr>Split &amp; Merge data</vt:lpstr>
      <vt:lpstr>CONDITIONAL FORMATTING</vt:lpstr>
      <vt:lpstr>Find mising value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Gnanasundari</dc:creator>
  <cp:lastModifiedBy>Gnanasundari</cp:lastModifiedBy>
  <dcterms:created xsi:type="dcterms:W3CDTF">2026-09-24T11:51:00Z</dcterms:created>
  <dcterms:modified xsi:type="dcterms:W3CDTF">2026-10-03T06:54:57Z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A409725762754C2E93E8EB1CA136E4B7_12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